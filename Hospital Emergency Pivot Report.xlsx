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07A079662CD30AC7/Documents/"/>
    </mc:Choice>
  </mc:AlternateContent>
  <xr:revisionPtr revIDLastSave="0" documentId="8_{92DB0DEE-E56A-4A73-A16C-555527FB551D}" xr6:coauthVersionLast="47" xr6:coauthVersionMax="47" xr10:uidLastSave="{00000000-0000-0000-0000-000000000000}"/>
  <bookViews>
    <workbookView xWindow="-108" yWindow="-108" windowWidth="23256" windowHeight="12336" xr2:uid="{8E87CE40-998D-4592-A380-D76392B3354D}"/>
  </bookViews>
  <sheets>
    <sheet name="Pivot Report" sheetId="1" r:id="rId1"/>
    <sheet name="Dashboard" sheetId="4" r:id="rId2"/>
  </sheets>
  <definedNames>
    <definedName name="Slicer_Date__Month">#N/A</definedName>
    <definedName name="Slicer_Date__Year">#N/A</definedName>
  </definedNames>
  <calcPr calcId="191029"/>
  <customWorkbookViews>
    <customWorkbookView name="full view" guid="{D137B2B0-D4F2-44AB-BF1C-FE68FE4326B1}" maximized="1" xWindow="-9" yWindow="-9" windowWidth="1938" windowHeight="1028" activeSheetId="4"/>
  </customWorkbookViews>
  <pivotCaches>
    <pivotCache cacheId="1488" r:id="rId3"/>
    <pivotCache cacheId="1491" r:id="rId4"/>
    <pivotCache cacheId="1494" r:id="rId5"/>
    <pivotCache cacheId="1497" r:id="rId6"/>
    <pivotCache cacheId="1500" r:id="rId7"/>
    <pivotCache cacheId="1503" r:id="rId8"/>
    <pivotCache cacheId="1506" r:id="rId9"/>
    <pivotCache cacheId="1509" r:id="rId10"/>
    <pivotCache cacheId="1512" r:id="rId11"/>
    <pivotCache cacheId="1515" r:id="rId12"/>
    <pivotCache cacheId="1518" r:id="rId13"/>
    <pivotCache cacheId="1521" r:id="rId14"/>
  </pivotCaches>
  <extLst>
    <ext xmlns:x14="http://schemas.microsoft.com/office/spreadsheetml/2009/9/main" uri="{876F7934-8845-4945-9796-88D515C7AA90}">
      <x14:pivotCaches>
        <pivotCache cacheId="1178"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e7c29a8a-0ffc-458d-bd0b-a37390f10802" name="Hospital Emergency Room Data" connection="Query - Hospital Emergency Room Data"/>
          <x15:modelTable id="Calendar_Table_87ae9aa6-9487-41a8-a994-cb5e05e1b991"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6" i="1" l="1"/>
  <c r="C47" i="1"/>
  <c r="A47" i="1"/>
  <c r="B47" i="1"/>
  <c r="A46" i="1"/>
  <c r="B4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9F35BE-0A7B-41A1-B1BD-35B0DC34F351}" name="Query - Calendar_Table" description="Connection to the 'Calendar_Table' query in the workbook." type="100" refreshedVersion="8" minRefreshableVersion="5">
    <extLst>
      <ext xmlns:x15="http://schemas.microsoft.com/office/spreadsheetml/2010/11/main" uri="{DE250136-89BD-433C-8126-D09CA5730AF9}">
        <x15:connection id="e1194f06-8f92-48cc-a75c-093c5d86b6f5"/>
      </ext>
    </extLst>
  </connection>
  <connection id="2" xr16:uid="{FD1AA70B-E931-4465-BED8-FC71872BDB9B}"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26bf8302-4362-4a3f-a6d5-e49ab29030f3"/>
      </ext>
    </extLst>
  </connection>
  <connection id="3" xr16:uid="{9A99E7FC-5FB2-4FAE-A8FE-E0A325B10E9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<sst xmlns="http://schemas.openxmlformats.org/spreadsheetml/2006/main" count="157" uniqueCount="76">
  <si>
    <t>Count of Patient Id</t>
  </si>
  <si>
    <t>No.of patient</t>
  </si>
  <si>
    <t>Male</t>
  </si>
  <si>
    <t>None</t>
  </si>
  <si>
    <t>Admitted</t>
  </si>
  <si>
    <t>60-69</t>
  </si>
  <si>
    <t>Delay</t>
  </si>
  <si>
    <t>70-79</t>
  </si>
  <si>
    <t>10-19</t>
  </si>
  <si>
    <t>Ontime</t>
  </si>
  <si>
    <t>40-49</t>
  </si>
  <si>
    <t>50-59</t>
  </si>
  <si>
    <t>20-29</t>
  </si>
  <si>
    <t>0-09</t>
  </si>
  <si>
    <t>30-39</t>
  </si>
  <si>
    <t>Female</t>
  </si>
  <si>
    <t>Not Admitted</t>
  </si>
  <si>
    <t>Average of Patient Waittime</t>
  </si>
  <si>
    <t>Average of Patient Satisfaction Score</t>
  </si>
  <si>
    <t>Row Labels</t>
  </si>
  <si>
    <t>Grand Total</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</si>
  <si>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</si>
  <si>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</si>
  <si>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</si>
  <si>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</si>
  <si>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</si>
  <si>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</si>
  <si>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</si>
  <si>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</si>
  <si>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</si>
  <si>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</si>
  <si>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</si>
  <si>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</si>
  <si>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</si>
  <si>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</si>
  <si>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</si>
  <si>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</si>
  <si>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</si>
  <si>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</si>
  <si>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</si>
  <si>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</si>
  <si>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</si>
  <si>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</si>
  <si>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</si>
  <si>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</si>
  <si>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</si>
  <si>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</si>
  <si>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</si>
  <si>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</si>
  <si>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</si>
  <si>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</si>
  <si>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</si>
  <si>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</si>
  <si>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 xml:space="preserve"> </t>
  </si>
  <si>
    <t>General Practice</t>
  </si>
  <si>
    <t>Orthopedics</t>
  </si>
  <si>
    <t>Physiotherapy</t>
  </si>
  <si>
    <t>Neurology</t>
  </si>
  <si>
    <t>daily trends of no.of patients</t>
  </si>
  <si>
    <t>average wait time</t>
  </si>
  <si>
    <t>satisfaction score</t>
  </si>
  <si>
    <t>Count of Patient Attend Status</t>
  </si>
  <si>
    <t>Count of Patient Admission Flag</t>
  </si>
  <si>
    <t>Cardiology</t>
  </si>
  <si>
    <t>Gastroenterology</t>
  </si>
  <si>
    <t>Renal</t>
  </si>
  <si>
    <t>Count of Patient Admission Flag2</t>
  </si>
  <si>
    <t>Admission Status</t>
  </si>
  <si>
    <t>No.of Patient</t>
  </si>
  <si>
    <t>% Status</t>
  </si>
  <si>
    <t>Count of Age Group</t>
  </si>
  <si>
    <t>Age Group</t>
  </si>
  <si>
    <t>attend status</t>
  </si>
  <si>
    <t>Count of Patient Gender</t>
  </si>
  <si>
    <t>Gender</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</si>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</sst>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4"/>
        <bgColor indexed="64"/>
      </patternFill>
    </fill>
    <fill>
      <patternFill patternType="solid">
        <fgColor theme="2" tint="-0.89999084444715716"/>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NumberFormat="1"/>
    <xf numFmtId="0" fontId="0" fillId="0" borderId="0" xfId="0" pivotButton="1"/>
    <xf numFmtId="2" fontId="0" fillId="0" borderId="0" xfId="0" applyNumberFormat="1"/>
    <xf numFmtId="1" fontId="0" fillId="0" borderId="0" xfId="0" applyNumberFormat="1"/>
    <xf numFmtId="0" fontId="0" fillId="0" borderId="0" xfId="0" applyAlignment="1">
      <alignment horizontal="left"/>
    </xf>
    <xf numFmtId="10" fontId="0" fillId="0" borderId="0" xfId="0" applyNumberFormat="1"/>
    <xf numFmtId="0" fontId="0" fillId="2" borderId="0" xfId="0" applyFill="1"/>
    <xf numFmtId="0" fontId="0" fillId="2" borderId="0" xfId="0" applyFill="1" applyAlignment="1">
      <alignment horizontal="center" vertical="center"/>
    </xf>
    <xf numFmtId="9" fontId="0" fillId="2" borderId="0" xfId="0" applyNumberFormat="1" applyFill="1" applyAlignment="1">
      <alignment horizontal="center" vertical="center"/>
    </xf>
    <xf numFmtId="1" fontId="0" fillId="2" borderId="0" xfId="0" applyNumberFormat="1" applyFill="1" applyAlignment="1">
      <alignment horizontal="center" vertical="center"/>
    </xf>
    <xf numFmtId="0" fontId="0" fillId="3" borderId="0" xfId="0" applyFill="1" applyAlignment="1">
      <alignment horizontal="center" vertical="center"/>
    </xf>
    <xf numFmtId="0" fontId="0" fillId="3" borderId="0" xfId="0" applyFill="1"/>
    <xf numFmtId="0" fontId="0" fillId="4" borderId="0" xfId="0" applyFill="1"/>
  </cellXfs>
  <cellStyles count="1">
    <cellStyle name="Normal" xfId="0" builtinId="0"/>
  </cellStyles>
  <dxfs count="28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1" formatCode="0"/>
    </dxf>
    <dxf>
      <numFmt numFmtId="2" formatCode="0.00"/>
    </dxf>
    <dxf>
      <numFmt numFmtId="2" formatCode="0.00"/>
    </dxf>
    <dxf>
      <font>
        <b/>
        <color theme="1"/>
      </font>
      <border>
        <bottom style="thin">
          <color theme="8"/>
        </bottom>
        <vertical/>
        <horizontal/>
      </border>
    </dxf>
    <dxf>
      <font>
        <sz val="8"/>
        <color theme="1"/>
        <name val="Book Antiqua"/>
        <family val="1"/>
        <scheme val="none"/>
      </font>
      <fill>
        <patternFill>
          <bgColor theme="0" tint="-4.9989318521683403E-2"/>
        </patternFill>
      </fill>
      <border diagonalUp="0" diagonalDown="0">
        <left/>
        <right/>
        <top/>
        <bottom/>
        <vertical/>
        <horizontal/>
      </border>
    </dxf>
    <dxf>
      <numFmt numFmtId="2" formatCode="0.00"/>
    </dxf>
    <dxf>
      <numFmt numFmtId="2" formatCode="0.00"/>
    </dxf>
  </dxfs>
  <tableStyles count="1" defaultTableStyle="TableStyleMedium2" defaultPivotStyle="PivotStyleLight16">
    <tableStyle name="My style" pivot="0" table="0" count="10" xr9:uid="{C69BCD0D-877C-4D8C-8167-C780B53165C1}">
      <tableStyleElement type="wholeTable" dxfId="277"/>
      <tableStyleElement type="headerRow" dxfId="27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microsoft.com/office/2007/relationships/slicerCache" Target="slicerCaches/slicer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 Emergency Pivot Report.xlsx]Pivot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hade val="76000"/>
            </a:schemeClr>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980A6ED5-9A22-47B3-990F-B0848A5D1078}" type="CELLRANGE">
                  <a:rPr lang="en-US"/>
                  <a:pPr>
                    <a:defRPr sz="6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hade val="76000"/>
            </a:schemeClr>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74476DB3-2BAB-442C-A436-ADDFC61C196E}" type="CELLRANGE">
                  <a:rPr lang="en-US"/>
                  <a:pPr>
                    <a:defRPr sz="6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'Pivot Report'!$B$38</c:f>
              <c:strCache>
                <c:ptCount val="1"/>
                <c:pt idx="0">
                  <c:v>Count of Patient Admission Flag</c:v>
                </c:pt>
              </c:strCache>
            </c:strRef>
          </c:tx>
          <c:spPr>
            <a:solidFill>
              <a:schemeClr val="accent1">
                <a:shade val="76000"/>
              </a:schemeClr>
            </a:solidFill>
            <a:ln>
              <a:noFill/>
            </a:ln>
            <a:effectLst/>
          </c:spPr>
          <c:invertIfNegative val="0"/>
          <c:dLbls>
            <c:dLbl>
              <c:idx val="0"/>
              <c:tx>
                <c:rich>
                  <a:bodyPr/>
                  <a:lstStyle/>
                  <a:p>
                    <a:fld id="{74476DB3-2BAB-442C-A436-ADDFC61C19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D5D-4661-8E7C-3E7780F9684B}"/>
                </c:ext>
              </c:extLst>
            </c:dLbl>
            <c:dLbl>
              <c:idx val="1"/>
              <c:tx>
                <c:rich>
                  <a:bodyPr/>
                  <a:lstStyle/>
                  <a:p>
                    <a:fld id="{980A6ED5-9A22-47B3-990F-B0848A5D107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D5D-4661-8E7C-3E7780F9684B}"/>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Report'!$A$39:$A$41</c:f>
              <c:strCache>
                <c:ptCount val="2"/>
                <c:pt idx="0">
                  <c:v>Admitted</c:v>
                </c:pt>
                <c:pt idx="1">
                  <c:v>Not Admitted</c:v>
                </c:pt>
              </c:strCache>
            </c:strRef>
          </c:cat>
          <c:val>
            <c:numRef>
              <c:f>'Pivot Report'!$B$39:$B$41</c:f>
              <c:numCache>
                <c:formatCode>0</c:formatCode>
                <c:ptCount val="2"/>
                <c:pt idx="0">
                  <c:v>269</c:v>
                </c:pt>
                <c:pt idx="1">
                  <c:v>244</c:v>
                </c:pt>
              </c:numCache>
            </c:numRef>
          </c:val>
          <c:extLst>
            <c:ext xmlns:c15="http://schemas.microsoft.com/office/drawing/2012/chart" uri="{02D57815-91ED-43cb-92C2-25804820EDAC}">
              <c15:datalabelsRange>
                <c15:f>'Pivot Report'!$C$39:$C$40</c15:f>
                <c15:dlblRangeCache>
                  <c:ptCount val="2"/>
                  <c:pt idx="0">
                    <c:v>52.44%</c:v>
                  </c:pt>
                  <c:pt idx="1">
                    <c:v>47.56%</c:v>
                  </c:pt>
                </c15:dlblRangeCache>
              </c15:datalabelsRange>
            </c:ext>
            <c:ext xmlns:c16="http://schemas.microsoft.com/office/drawing/2014/chart" uri="{C3380CC4-5D6E-409C-BE32-E72D297353CC}">
              <c16:uniqueId val="{00000000-7D5D-4661-8E7C-3E7780F9684B}"/>
            </c:ext>
          </c:extLst>
        </c:ser>
        <c:ser>
          <c:idx val="1"/>
          <c:order val="1"/>
          <c:tx>
            <c:strRef>
              <c:f>'Pivot Report'!$C$38</c:f>
              <c:strCache>
                <c:ptCount val="1"/>
                <c:pt idx="0">
                  <c:v>Count of Patient Admission Flag2</c:v>
                </c:pt>
              </c:strCache>
            </c:strRef>
          </c:tx>
          <c:spPr>
            <a:solidFill>
              <a:schemeClr val="accent1">
                <a:tint val="77000"/>
              </a:schemeClr>
            </a:solidFill>
            <a:ln>
              <a:noFill/>
            </a:ln>
            <a:effectLst/>
          </c:spPr>
          <c:invertIfNegative val="0"/>
          <c:cat>
            <c:strRef>
              <c:f>'Pivot Report'!$A$39:$A$41</c:f>
              <c:strCache>
                <c:ptCount val="2"/>
                <c:pt idx="0">
                  <c:v>Admitted</c:v>
                </c:pt>
                <c:pt idx="1">
                  <c:v>Not Admitted</c:v>
                </c:pt>
              </c:strCache>
            </c:strRef>
          </c:cat>
          <c:val>
            <c:numRef>
              <c:f>'Pivot Report'!$C$39:$C$41</c:f>
              <c:numCache>
                <c:formatCode>0.00%</c:formatCode>
                <c:ptCount val="2"/>
                <c:pt idx="0">
                  <c:v>0.52436647173489281</c:v>
                </c:pt>
                <c:pt idx="1">
                  <c:v>0.47563352826510719</c:v>
                </c:pt>
              </c:numCache>
            </c:numRef>
          </c:val>
          <c:extLst>
            <c:ext xmlns:c16="http://schemas.microsoft.com/office/drawing/2014/chart" uri="{C3380CC4-5D6E-409C-BE32-E72D297353CC}">
              <c16:uniqueId val="{00000001-7D5D-4661-8E7C-3E7780F9684B}"/>
            </c:ext>
          </c:extLst>
        </c:ser>
        <c:dLbls>
          <c:showLegendKey val="0"/>
          <c:showVal val="0"/>
          <c:showCatName val="0"/>
          <c:showSerName val="0"/>
          <c:showPercent val="0"/>
          <c:showBubbleSize val="0"/>
        </c:dLbls>
        <c:gapWidth val="0"/>
        <c:axId val="1845228032"/>
        <c:axId val="2143782928"/>
      </c:barChart>
      <c:catAx>
        <c:axId val="1845228032"/>
        <c:scaling>
          <c:orientation val="minMax"/>
        </c:scaling>
        <c:delete val="1"/>
        <c:axPos val="l"/>
        <c:numFmt formatCode="General" sourceLinked="1"/>
        <c:majorTickMark val="none"/>
        <c:minorTickMark val="none"/>
        <c:tickLblPos val="nextTo"/>
        <c:crossAx val="2143782928"/>
        <c:crosses val="autoZero"/>
        <c:auto val="1"/>
        <c:lblAlgn val="ctr"/>
        <c:lblOffset val="100"/>
        <c:noMultiLvlLbl val="0"/>
      </c:catAx>
      <c:valAx>
        <c:axId val="2143782928"/>
        <c:scaling>
          <c:orientation val="minMax"/>
        </c:scaling>
        <c:delete val="1"/>
        <c:axPos val="b"/>
        <c:numFmt formatCode="0" sourceLinked="1"/>
        <c:majorTickMark val="none"/>
        <c:minorTickMark val="none"/>
        <c:tickLblPos val="nextTo"/>
        <c:crossAx val="1845228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 Emergency Pivot Report.xlsx]Pivot Report!PivotTable4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cap="rnd">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8634814690887316"/>
          <c:w val="1"/>
          <c:h val="0.81365243145122768"/>
        </c:manualLayout>
      </c:layout>
      <c:areaChart>
        <c:grouping val="standard"/>
        <c:varyColors val="0"/>
        <c:ser>
          <c:idx val="0"/>
          <c:order val="0"/>
          <c:tx>
            <c:strRef>
              <c:f>'Pivot Report'!$E$4</c:f>
              <c:strCache>
                <c:ptCount val="1"/>
                <c:pt idx="0">
                  <c:v>Total</c:v>
                </c:pt>
              </c:strCache>
            </c:strRef>
          </c:tx>
          <c:spPr>
            <a:solidFill>
              <a:schemeClr val="accent1"/>
            </a:solidFill>
            <a:ln cap="rnd">
              <a:solidFill>
                <a:schemeClr val="accent1">
                  <a:shade val="15000"/>
                </a:schemeClr>
              </a:solidFill>
            </a:ln>
            <a:effectLst/>
          </c:spPr>
          <c:cat>
            <c:strRef>
              <c:f>'Pivot Report'!$D$5:$D$36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Report'!$E$5:$E$36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789C-4DC8-9440-3BE6233174F1}"/>
            </c:ext>
          </c:extLst>
        </c:ser>
        <c:dLbls>
          <c:showLegendKey val="0"/>
          <c:showVal val="0"/>
          <c:showCatName val="0"/>
          <c:showSerName val="0"/>
          <c:showPercent val="0"/>
          <c:showBubbleSize val="0"/>
        </c:dLbls>
        <c:axId val="1383373456"/>
        <c:axId val="1905082096"/>
      </c:areaChart>
      <c:catAx>
        <c:axId val="1383373456"/>
        <c:scaling>
          <c:orientation val="minMax"/>
        </c:scaling>
        <c:delete val="1"/>
        <c:axPos val="b"/>
        <c:numFmt formatCode="General" sourceLinked="1"/>
        <c:majorTickMark val="out"/>
        <c:minorTickMark val="none"/>
        <c:tickLblPos val="nextTo"/>
        <c:crossAx val="1905082096"/>
        <c:crosses val="autoZero"/>
        <c:auto val="1"/>
        <c:lblAlgn val="ctr"/>
        <c:lblOffset val="100"/>
        <c:noMultiLvlLbl val="0"/>
      </c:catAx>
      <c:valAx>
        <c:axId val="1905082096"/>
        <c:scaling>
          <c:orientation val="minMax"/>
        </c:scaling>
        <c:delete val="1"/>
        <c:axPos val="l"/>
        <c:numFmt formatCode="General" sourceLinked="1"/>
        <c:majorTickMark val="none"/>
        <c:minorTickMark val="none"/>
        <c:tickLblPos val="nextTo"/>
        <c:crossAx val="13833734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Pivot Report.xlsx]Pivot Report!PivotTable5</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cap="rnd">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0.9999921189525891"/>
        </c:manualLayout>
      </c:layout>
      <c:areaChart>
        <c:grouping val="standard"/>
        <c:varyColors val="0"/>
        <c:ser>
          <c:idx val="0"/>
          <c:order val="0"/>
          <c:tx>
            <c:strRef>
              <c:f>'Pivot Report'!$H$4</c:f>
              <c:strCache>
                <c:ptCount val="1"/>
                <c:pt idx="0">
                  <c:v>Total</c:v>
                </c:pt>
              </c:strCache>
            </c:strRef>
          </c:tx>
          <c:spPr>
            <a:solidFill>
              <a:schemeClr val="accent1"/>
            </a:solidFill>
            <a:ln cap="rnd">
              <a:solidFill>
                <a:schemeClr val="accent1">
                  <a:shade val="15000"/>
                </a:schemeClr>
              </a:solidFill>
            </a:ln>
            <a:effectLst/>
          </c:spPr>
          <c:cat>
            <c:strRef>
              <c:f>'Pivot Report'!$G$5:$G$36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Report'!$H$5:$H$36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771B-485D-8B91-B20A26227116}"/>
            </c:ext>
          </c:extLst>
        </c:ser>
        <c:dLbls>
          <c:showLegendKey val="0"/>
          <c:showVal val="0"/>
          <c:showCatName val="0"/>
          <c:showSerName val="0"/>
          <c:showPercent val="0"/>
          <c:showBubbleSize val="0"/>
        </c:dLbls>
        <c:axId val="1845205296"/>
        <c:axId val="2143771408"/>
      </c:areaChart>
      <c:catAx>
        <c:axId val="1845205296"/>
        <c:scaling>
          <c:orientation val="minMax"/>
        </c:scaling>
        <c:delete val="1"/>
        <c:axPos val="b"/>
        <c:numFmt formatCode="General" sourceLinked="1"/>
        <c:majorTickMark val="out"/>
        <c:minorTickMark val="none"/>
        <c:tickLblPos val="nextTo"/>
        <c:crossAx val="2143771408"/>
        <c:crosses val="autoZero"/>
        <c:auto val="1"/>
        <c:lblAlgn val="ctr"/>
        <c:lblOffset val="100"/>
        <c:noMultiLvlLbl val="0"/>
      </c:catAx>
      <c:valAx>
        <c:axId val="2143771408"/>
        <c:scaling>
          <c:orientation val="minMax"/>
        </c:scaling>
        <c:delete val="1"/>
        <c:axPos val="l"/>
        <c:numFmt formatCode="0.00" sourceLinked="1"/>
        <c:majorTickMark val="none"/>
        <c:minorTickMark val="none"/>
        <c:tickLblPos val="nextTo"/>
        <c:crossAx val="18452052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Pivot Report.xlsx]Pivot Report!PivotTable6</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cap="rnd">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7337918756242848"/>
          <c:w val="0.99092088660759281"/>
          <c:h val="0.75755740835623453"/>
        </c:manualLayout>
      </c:layout>
      <c:areaChart>
        <c:grouping val="standard"/>
        <c:varyColors val="0"/>
        <c:ser>
          <c:idx val="0"/>
          <c:order val="0"/>
          <c:tx>
            <c:strRef>
              <c:f>'Pivot Report'!$K$4</c:f>
              <c:strCache>
                <c:ptCount val="1"/>
                <c:pt idx="0">
                  <c:v>Total</c:v>
                </c:pt>
              </c:strCache>
            </c:strRef>
          </c:tx>
          <c:spPr>
            <a:solidFill>
              <a:schemeClr val="accent1"/>
            </a:solidFill>
            <a:ln cap="rnd">
              <a:solidFill>
                <a:schemeClr val="accent1">
                  <a:shade val="15000"/>
                </a:schemeClr>
              </a:solidFill>
            </a:ln>
            <a:effectLst/>
          </c:spPr>
          <c:cat>
            <c:strRef>
              <c:f>'Pivot Report'!$J$5:$J$36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Report'!$K$5:$K$36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98DE-4D12-8EC1-CF26FEE9365A}"/>
            </c:ext>
          </c:extLst>
        </c:ser>
        <c:dLbls>
          <c:showLegendKey val="0"/>
          <c:showVal val="0"/>
          <c:showCatName val="0"/>
          <c:showSerName val="0"/>
          <c:showPercent val="0"/>
          <c:showBubbleSize val="0"/>
        </c:dLbls>
        <c:axId val="1845136160"/>
        <c:axId val="2143787728"/>
      </c:areaChart>
      <c:catAx>
        <c:axId val="1845136160"/>
        <c:scaling>
          <c:orientation val="minMax"/>
        </c:scaling>
        <c:delete val="1"/>
        <c:axPos val="b"/>
        <c:numFmt formatCode="General" sourceLinked="1"/>
        <c:majorTickMark val="out"/>
        <c:minorTickMark val="none"/>
        <c:tickLblPos val="nextTo"/>
        <c:crossAx val="2143787728"/>
        <c:crosses val="autoZero"/>
        <c:auto val="1"/>
        <c:lblAlgn val="ctr"/>
        <c:lblOffset val="100"/>
        <c:noMultiLvlLbl val="0"/>
      </c:catAx>
      <c:valAx>
        <c:axId val="2143787728"/>
        <c:scaling>
          <c:orientation val="minMax"/>
        </c:scaling>
        <c:delete val="1"/>
        <c:axPos val="l"/>
        <c:numFmt formatCode="0.00" sourceLinked="1"/>
        <c:majorTickMark val="none"/>
        <c:minorTickMark val="none"/>
        <c:tickLblPos val="nextTo"/>
        <c:crossAx val="18451361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Pivot Report.xlsx]Pivot Report!PivotTable8</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581961077220353E-2"/>
          <c:y val="1.2544808178029596E-2"/>
          <c:w val="0.90683607784555931"/>
          <c:h val="0.75916141414560467"/>
        </c:manualLayout>
      </c:layout>
      <c:barChart>
        <c:barDir val="col"/>
        <c:grouping val="clustered"/>
        <c:varyColors val="0"/>
        <c:ser>
          <c:idx val="0"/>
          <c:order val="0"/>
          <c:tx>
            <c:strRef>
              <c:f>'Pivot Report'!$B$50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Report'!$A$51:$A$59</c:f>
              <c:strCache>
                <c:ptCount val="8"/>
                <c:pt idx="0">
                  <c:v>0-09</c:v>
                </c:pt>
                <c:pt idx="1">
                  <c:v>10-19</c:v>
                </c:pt>
                <c:pt idx="2">
                  <c:v>20-29</c:v>
                </c:pt>
                <c:pt idx="3">
                  <c:v>30-39</c:v>
                </c:pt>
                <c:pt idx="4">
                  <c:v>40-49</c:v>
                </c:pt>
                <c:pt idx="5">
                  <c:v>50-59</c:v>
                </c:pt>
                <c:pt idx="6">
                  <c:v>60-69</c:v>
                </c:pt>
                <c:pt idx="7">
                  <c:v>70-79</c:v>
                </c:pt>
              </c:strCache>
            </c:strRef>
          </c:cat>
          <c:val>
            <c:numRef>
              <c:f>'Pivot Report'!$B$51:$B$59</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DC7C-496A-9EB3-E94A7AD28E88}"/>
            </c:ext>
          </c:extLst>
        </c:ser>
        <c:dLbls>
          <c:showLegendKey val="0"/>
          <c:showVal val="0"/>
          <c:showCatName val="0"/>
          <c:showSerName val="0"/>
          <c:showPercent val="0"/>
          <c:showBubbleSize val="0"/>
        </c:dLbls>
        <c:gapWidth val="219"/>
        <c:overlap val="-27"/>
        <c:axId val="1845234992"/>
        <c:axId val="2143829968"/>
      </c:barChart>
      <c:catAx>
        <c:axId val="184523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2143829968"/>
        <c:crosses val="autoZero"/>
        <c:auto val="1"/>
        <c:lblAlgn val="ctr"/>
        <c:lblOffset val="100"/>
        <c:noMultiLvlLbl val="0"/>
      </c:catAx>
      <c:valAx>
        <c:axId val="2143829968"/>
        <c:scaling>
          <c:orientation val="minMax"/>
        </c:scaling>
        <c:delete val="1"/>
        <c:axPos val="l"/>
        <c:numFmt formatCode="0" sourceLinked="1"/>
        <c:majorTickMark val="none"/>
        <c:minorTickMark val="none"/>
        <c:tickLblPos val="nextTo"/>
        <c:crossAx val="184523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Pivot Report.xlsx]Pivot Report!PivotTable9</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2"/>
          </a:solidFill>
          <a:ln>
            <a:noFill/>
          </a:ln>
          <a:effectLst/>
        </c:spPr>
      </c:pivotFmt>
    </c:pivotFmts>
    <c:plotArea>
      <c:layout>
        <c:manualLayout>
          <c:layoutTarget val="inner"/>
          <c:xMode val="edge"/>
          <c:yMode val="edge"/>
          <c:x val="8.7417935738665908E-2"/>
          <c:y val="0.14293468639899837"/>
          <c:w val="0.77503091300447469"/>
          <c:h val="0.80330027547901683"/>
        </c:manualLayout>
      </c:layout>
      <c:pieChart>
        <c:varyColors val="1"/>
        <c:ser>
          <c:idx val="0"/>
          <c:order val="0"/>
          <c:tx>
            <c:strRef>
              <c:f>'Pivot Report'!$B$62</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6C4C-43F7-9448-3A1B09392A0D}"/>
              </c:ext>
            </c:extLst>
          </c:dPt>
          <c:dPt>
            <c:idx val="1"/>
            <c:bubble3D val="0"/>
            <c:spPr>
              <a:solidFill>
                <a:schemeClr val="accent2"/>
              </a:solidFill>
              <a:ln>
                <a:noFill/>
              </a:ln>
              <a:effectLst/>
            </c:spPr>
            <c:extLst>
              <c:ext xmlns:c16="http://schemas.microsoft.com/office/drawing/2014/chart" uri="{C3380CC4-5D6E-409C-BE32-E72D297353CC}">
                <c16:uniqueId val="{00000003-6C4C-43F7-9448-3A1B09392A0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Report'!$A$63:$A$65</c:f>
              <c:strCache>
                <c:ptCount val="2"/>
                <c:pt idx="0">
                  <c:v>Delay</c:v>
                </c:pt>
                <c:pt idx="1">
                  <c:v>Ontime</c:v>
                </c:pt>
              </c:strCache>
            </c:strRef>
          </c:cat>
          <c:val>
            <c:numRef>
              <c:f>'Pivot Report'!$B$63:$B$65</c:f>
              <c:numCache>
                <c:formatCode>0</c:formatCode>
                <c:ptCount val="2"/>
                <c:pt idx="0">
                  <c:v>316</c:v>
                </c:pt>
                <c:pt idx="1">
                  <c:v>197</c:v>
                </c:pt>
              </c:numCache>
            </c:numRef>
          </c:val>
          <c:extLst>
            <c:ext xmlns:c16="http://schemas.microsoft.com/office/drawing/2014/chart" uri="{C3380CC4-5D6E-409C-BE32-E72D297353CC}">
              <c16:uniqueId val="{00000004-6C4C-43F7-9448-3A1B09392A0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2191011387300209"/>
          <c:y val="2.1212945335871633E-2"/>
          <c:w val="0.73439492676513929"/>
          <c:h val="7.7205605185461074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Pivot Report.xlsx]Pivot Report!PivotTable10</c:name>
    <c:fmtId val="36"/>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4534289043103249"/>
          <c:y val="0.1145645284451291"/>
          <c:w val="0.71066303229595063"/>
          <c:h val="0.79389364359835624"/>
        </c:manualLayout>
      </c:layout>
      <c:doughnutChart>
        <c:varyColors val="1"/>
        <c:ser>
          <c:idx val="0"/>
          <c:order val="0"/>
          <c:tx>
            <c:strRef>
              <c:f>'Pivot Report'!$B$68</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CFC3-46BF-A9B0-0032ADCBC4B0}"/>
              </c:ext>
            </c:extLst>
          </c:dPt>
          <c:dPt>
            <c:idx val="1"/>
            <c:bubble3D val="0"/>
            <c:spPr>
              <a:solidFill>
                <a:schemeClr val="accent2"/>
              </a:solidFill>
              <a:ln>
                <a:noFill/>
              </a:ln>
              <a:effectLst/>
            </c:spPr>
            <c:extLst>
              <c:ext xmlns:c16="http://schemas.microsoft.com/office/drawing/2014/chart" uri="{C3380CC4-5D6E-409C-BE32-E72D297353CC}">
                <c16:uniqueId val="{00000003-CFC3-46BF-A9B0-0032ADCBC4B0}"/>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Report'!$A$69:$A$71</c:f>
              <c:strCache>
                <c:ptCount val="2"/>
                <c:pt idx="0">
                  <c:v>Female</c:v>
                </c:pt>
                <c:pt idx="1">
                  <c:v>Male</c:v>
                </c:pt>
              </c:strCache>
            </c:strRef>
          </c:cat>
          <c:val>
            <c:numRef>
              <c:f>'Pivot Report'!$B$69:$B$71</c:f>
              <c:numCache>
                <c:formatCode>0</c:formatCode>
                <c:ptCount val="2"/>
                <c:pt idx="0">
                  <c:v>241</c:v>
                </c:pt>
                <c:pt idx="1">
                  <c:v>272</c:v>
                </c:pt>
              </c:numCache>
            </c:numRef>
          </c:val>
          <c:extLst>
            <c:ext xmlns:c16="http://schemas.microsoft.com/office/drawing/2014/chart" uri="{C3380CC4-5D6E-409C-BE32-E72D297353CC}">
              <c16:uniqueId val="{00000004-CFC3-46BF-A9B0-0032ADCBC4B0}"/>
            </c:ext>
          </c:extLst>
        </c:ser>
        <c:dLbls>
          <c:showLegendKey val="0"/>
          <c:showVal val="0"/>
          <c:showCatName val="0"/>
          <c:showSerName val="0"/>
          <c:showPercent val="1"/>
          <c:showBubbleSize val="0"/>
          <c:showLeaderLines val="1"/>
        </c:dLbls>
        <c:firstSliceAng val="0"/>
        <c:holeSize val="45"/>
      </c:doughnutChart>
      <c:spPr>
        <a:noFill/>
        <a:ln>
          <a:noFill/>
        </a:ln>
        <a:effectLst/>
      </c:spPr>
    </c:plotArea>
    <c:legend>
      <c:legendPos val="r"/>
      <c:layout>
        <c:manualLayout>
          <c:xMode val="edge"/>
          <c:yMode val="edge"/>
          <c:x val="0.32619152159064135"/>
          <c:y val="1.6656809043119011E-3"/>
          <c:w val="0.33438236013347383"/>
          <c:h val="9.1436278798483525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Pivot Report.xlsx]Pivot Report!PivotTable11</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49444403277853"/>
          <c:y val="1.5555547389913882E-2"/>
          <c:w val="0.75230174818159257"/>
          <c:h val="0.91290240792524513"/>
        </c:manualLayout>
      </c:layout>
      <c:barChart>
        <c:barDir val="bar"/>
        <c:grouping val="clustered"/>
        <c:varyColors val="0"/>
        <c:ser>
          <c:idx val="0"/>
          <c:order val="0"/>
          <c:tx>
            <c:strRef>
              <c:f>'Pivot Report'!$B$74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Report'!$A$75:$A$83</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Report'!$B$75:$B$83</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30D4-4B0D-9D85-8FE59198EFB4}"/>
            </c:ext>
          </c:extLst>
        </c:ser>
        <c:dLbls>
          <c:showLegendKey val="0"/>
          <c:showVal val="0"/>
          <c:showCatName val="0"/>
          <c:showSerName val="0"/>
          <c:showPercent val="0"/>
          <c:showBubbleSize val="0"/>
        </c:dLbls>
        <c:gapWidth val="22"/>
        <c:axId val="1383368816"/>
        <c:axId val="2143709488"/>
      </c:barChart>
      <c:catAx>
        <c:axId val="1383368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143709488"/>
        <c:crosses val="autoZero"/>
        <c:auto val="1"/>
        <c:lblAlgn val="ctr"/>
        <c:lblOffset val="100"/>
        <c:noMultiLvlLbl val="0"/>
      </c:catAx>
      <c:valAx>
        <c:axId val="2143709488"/>
        <c:scaling>
          <c:orientation val="minMax"/>
        </c:scaling>
        <c:delete val="1"/>
        <c:axPos val="b"/>
        <c:numFmt formatCode="0" sourceLinked="1"/>
        <c:majorTickMark val="none"/>
        <c:minorTickMark val="none"/>
        <c:tickLblPos val="nextTo"/>
        <c:crossAx val="1383368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6.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8.emf"/><Relationship Id="rId5" Type="http://schemas.openxmlformats.org/officeDocument/2006/relationships/image" Target="../media/image5.svg"/><Relationship Id="rId15" Type="http://schemas.openxmlformats.org/officeDocument/2006/relationships/chart" Target="../charts/chart8.xml"/><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chart" Target="../charts/chart7.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1985210</xdr:colOff>
      <xdr:row>44</xdr:row>
      <xdr:rowOff>60158</xdr:rowOff>
    </xdr:from>
    <xdr:to>
      <xdr:col>3</xdr:col>
      <xdr:colOff>1724527</xdr:colOff>
      <xdr:row>47</xdr:row>
      <xdr:rowOff>100263</xdr:rowOff>
    </xdr:to>
    <xdr:graphicFrame macro="">
      <xdr:nvGraphicFramePr>
        <xdr:cNvPr id="7" name="Chart 6">
          <a:extLst>
            <a:ext uri="{FF2B5EF4-FFF2-40B4-BE49-F238E27FC236}">
              <a16:creationId xmlns:a16="http://schemas.microsoft.com/office/drawing/2014/main" id="{B3D952D4-9085-7ABC-BA11-D0CB3DB73C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35168</xdr:colOff>
      <xdr:row>0</xdr:row>
      <xdr:rowOff>30481</xdr:rowOff>
    </xdr:from>
    <xdr:to>
      <xdr:col>5</xdr:col>
      <xdr:colOff>204483</xdr:colOff>
      <xdr:row>3</xdr:row>
      <xdr:rowOff>4355</xdr:rowOff>
    </xdr:to>
    <xdr:sp macro="" textlink="">
      <xdr:nvSpPr>
        <xdr:cNvPr id="2" name="Rectangle: Rounded Corners 1">
          <a:extLst>
            <a:ext uri="{FF2B5EF4-FFF2-40B4-BE49-F238E27FC236}">
              <a16:creationId xmlns:a16="http://schemas.microsoft.com/office/drawing/2014/main" id="{19AFE0B5-8B65-4476-7F2B-41123BD879DA}"/>
            </a:ext>
          </a:extLst>
        </xdr:cNvPr>
        <xdr:cNvSpPr/>
      </xdr:nvSpPr>
      <xdr:spPr>
        <a:xfrm>
          <a:off x="35168" y="30481"/>
          <a:ext cx="3217315" cy="518997"/>
        </a:xfrm>
        <a:prstGeom prst="roundRect">
          <a:avLst>
            <a:gd name="adj" fmla="val 7500"/>
          </a:avLst>
        </a:prstGeom>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r"/>
          <a:endParaRPr lang="en-US" sz="1400">
            <a:solidFill>
              <a:schemeClr val="tx1"/>
            </a:solidFill>
          </a:endParaRPr>
        </a:p>
      </xdr:txBody>
    </xdr:sp>
    <xdr:clientData/>
  </xdr:twoCellAnchor>
  <xdr:twoCellAnchor>
    <xdr:from>
      <xdr:col>5</xdr:col>
      <xdr:colOff>228600</xdr:colOff>
      <xdr:row>0</xdr:row>
      <xdr:rowOff>34835</xdr:rowOff>
    </xdr:from>
    <xdr:to>
      <xdr:col>6</xdr:col>
      <xdr:colOff>605078</xdr:colOff>
      <xdr:row>3</xdr:row>
      <xdr:rowOff>8709</xdr:rowOff>
    </xdr:to>
    <xdr:sp macro="" textlink="">
      <xdr:nvSpPr>
        <xdr:cNvPr id="3" name="Rectangle: Rounded Corners 2">
          <a:extLst>
            <a:ext uri="{FF2B5EF4-FFF2-40B4-BE49-F238E27FC236}">
              <a16:creationId xmlns:a16="http://schemas.microsoft.com/office/drawing/2014/main" id="{6E5CA5F0-2CAC-A0EE-AADA-D757A3ABD2AB}"/>
            </a:ext>
          </a:extLst>
        </xdr:cNvPr>
        <xdr:cNvSpPr/>
      </xdr:nvSpPr>
      <xdr:spPr>
        <a:xfrm>
          <a:off x="3276600" y="34835"/>
          <a:ext cx="986078" cy="529045"/>
        </a:xfrm>
        <a:prstGeom prst="roundRect">
          <a:avLst>
            <a:gd name="adj" fmla="val 7500"/>
          </a:avLst>
        </a:prstGeom>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12</xdr:col>
      <xdr:colOff>37683</xdr:colOff>
      <xdr:row>0</xdr:row>
      <xdr:rowOff>29308</xdr:rowOff>
    </xdr:from>
    <xdr:to>
      <xdr:col>13</xdr:col>
      <xdr:colOff>287215</xdr:colOff>
      <xdr:row>17</xdr:row>
      <xdr:rowOff>168729</xdr:rowOff>
    </xdr:to>
    <xdr:sp macro="" textlink="">
      <xdr:nvSpPr>
        <xdr:cNvPr id="4" name="Rectangle: Rounded Corners 3">
          <a:extLst>
            <a:ext uri="{FF2B5EF4-FFF2-40B4-BE49-F238E27FC236}">
              <a16:creationId xmlns:a16="http://schemas.microsoft.com/office/drawing/2014/main" id="{7A485060-2E19-34D2-BE9E-D9BB445D933E}"/>
            </a:ext>
          </a:extLst>
        </xdr:cNvPr>
        <xdr:cNvSpPr/>
      </xdr:nvSpPr>
      <xdr:spPr>
        <a:xfrm>
          <a:off x="7377765" y="29308"/>
          <a:ext cx="861205" cy="3223707"/>
        </a:xfrm>
        <a:prstGeom prst="roundRect">
          <a:avLst>
            <a:gd name="adj" fmla="val 7500"/>
          </a:avLst>
        </a:prstGeom>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354038</xdr:colOff>
      <xdr:row>7</xdr:row>
      <xdr:rowOff>159518</xdr:rowOff>
    </xdr:from>
    <xdr:to>
      <xdr:col>7</xdr:col>
      <xdr:colOff>18758</xdr:colOff>
      <xdr:row>17</xdr:row>
      <xdr:rowOff>174592</xdr:rowOff>
    </xdr:to>
    <xdr:sp macro="" textlink="">
      <xdr:nvSpPr>
        <xdr:cNvPr id="5" name="Rectangle: Rounded Corners 4">
          <a:extLst>
            <a:ext uri="{FF2B5EF4-FFF2-40B4-BE49-F238E27FC236}">
              <a16:creationId xmlns:a16="http://schemas.microsoft.com/office/drawing/2014/main" id="{2A2CE7BB-8326-D2D2-ACA0-951F10EDE303}"/>
            </a:ext>
          </a:extLst>
        </xdr:cNvPr>
        <xdr:cNvSpPr/>
      </xdr:nvSpPr>
      <xdr:spPr>
        <a:xfrm>
          <a:off x="2182838" y="1454918"/>
          <a:ext cx="2103120" cy="1865645"/>
        </a:xfrm>
        <a:prstGeom prst="roundRect">
          <a:avLst>
            <a:gd name="adj" fmla="val 3324"/>
          </a:avLst>
        </a:prstGeom>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38101</xdr:colOff>
      <xdr:row>3</xdr:row>
      <xdr:rowOff>42238</xdr:rowOff>
    </xdr:from>
    <xdr:to>
      <xdr:col>7</xdr:col>
      <xdr:colOff>6281</xdr:colOff>
      <xdr:row>7</xdr:row>
      <xdr:rowOff>130629</xdr:rowOff>
    </xdr:to>
    <xdr:grpSp>
      <xdr:nvGrpSpPr>
        <xdr:cNvPr id="18" name="Group 17">
          <a:extLst>
            <a:ext uri="{FF2B5EF4-FFF2-40B4-BE49-F238E27FC236}">
              <a16:creationId xmlns:a16="http://schemas.microsoft.com/office/drawing/2014/main" id="{315E0E90-7EDE-7A1D-1312-2A20EE9BAF48}"/>
            </a:ext>
          </a:extLst>
        </xdr:cNvPr>
        <xdr:cNvGrpSpPr/>
      </xdr:nvGrpSpPr>
      <xdr:grpSpPr>
        <a:xfrm>
          <a:off x="38101" y="596420"/>
          <a:ext cx="4235380" cy="827300"/>
          <a:chOff x="43543" y="605247"/>
          <a:chExt cx="3003584" cy="521850"/>
        </a:xfrm>
      </xdr:grpSpPr>
      <xdr:sp macro="" textlink="">
        <xdr:nvSpPr>
          <xdr:cNvPr id="9" name="Rectangle: Rounded Corners 8">
            <a:extLst>
              <a:ext uri="{FF2B5EF4-FFF2-40B4-BE49-F238E27FC236}">
                <a16:creationId xmlns:a16="http://schemas.microsoft.com/office/drawing/2014/main" id="{F1CD35B5-6C0A-5305-F2F4-65414C001D48}"/>
              </a:ext>
            </a:extLst>
          </xdr:cNvPr>
          <xdr:cNvSpPr/>
        </xdr:nvSpPr>
        <xdr:spPr>
          <a:xfrm>
            <a:off x="43543" y="605248"/>
            <a:ext cx="937951" cy="521849"/>
          </a:xfrm>
          <a:prstGeom prst="roundRect">
            <a:avLst>
              <a:gd name="adj" fmla="val 3530"/>
            </a:avLst>
          </a:prstGeom>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36BAE28D-1C7F-1EE8-C5C7-90AAA55EA126}"/>
              </a:ext>
            </a:extLst>
          </xdr:cNvPr>
          <xdr:cNvSpPr/>
        </xdr:nvSpPr>
        <xdr:spPr>
          <a:xfrm>
            <a:off x="1005633" y="609497"/>
            <a:ext cx="1021890" cy="517600"/>
          </a:xfrm>
          <a:prstGeom prst="roundRect">
            <a:avLst>
              <a:gd name="adj" fmla="val 4192"/>
            </a:avLst>
          </a:prstGeom>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DC65C6D9-F535-FC39-56A0-EB809225A89C}"/>
              </a:ext>
            </a:extLst>
          </xdr:cNvPr>
          <xdr:cNvSpPr/>
        </xdr:nvSpPr>
        <xdr:spPr>
          <a:xfrm>
            <a:off x="2049112" y="605247"/>
            <a:ext cx="998015" cy="518159"/>
          </a:xfrm>
          <a:prstGeom prst="roundRect">
            <a:avLst>
              <a:gd name="adj" fmla="val 4854"/>
            </a:avLst>
          </a:prstGeom>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36338</xdr:colOff>
      <xdr:row>7</xdr:row>
      <xdr:rowOff>157844</xdr:rowOff>
    </xdr:from>
    <xdr:to>
      <xdr:col>3</xdr:col>
      <xdr:colOff>316881</xdr:colOff>
      <xdr:row>17</xdr:row>
      <xdr:rowOff>180455</xdr:rowOff>
    </xdr:to>
    <xdr:sp macro="" textlink="">
      <xdr:nvSpPr>
        <xdr:cNvPr id="12" name="Rectangle: Rounded Corners 11">
          <a:extLst>
            <a:ext uri="{FF2B5EF4-FFF2-40B4-BE49-F238E27FC236}">
              <a16:creationId xmlns:a16="http://schemas.microsoft.com/office/drawing/2014/main" id="{88E9A7E0-904F-9EE7-6509-1E166AABC289}"/>
            </a:ext>
          </a:extLst>
        </xdr:cNvPr>
        <xdr:cNvSpPr/>
      </xdr:nvSpPr>
      <xdr:spPr>
        <a:xfrm>
          <a:off x="36338" y="1453244"/>
          <a:ext cx="2109343" cy="1873182"/>
        </a:xfrm>
        <a:prstGeom prst="roundRect">
          <a:avLst>
            <a:gd name="adj" fmla="val 2945"/>
          </a:avLst>
        </a:prstGeom>
        <a:solidFill>
          <a:schemeClr val="bg1">
            <a:lumMod val="95000"/>
          </a:schemeClr>
        </a:solidFill>
        <a:ln cap="sq"/>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54429</xdr:colOff>
      <xdr:row>6</xdr:row>
      <xdr:rowOff>31102</xdr:rowOff>
    </xdr:from>
    <xdr:to>
      <xdr:col>12</xdr:col>
      <xdr:colOff>5443</xdr:colOff>
      <xdr:row>8</xdr:row>
      <xdr:rowOff>111370</xdr:rowOff>
    </xdr:to>
    <xdr:sp macro="" textlink="">
      <xdr:nvSpPr>
        <xdr:cNvPr id="13" name="Rectangle: Rounded Corners 12">
          <a:extLst>
            <a:ext uri="{FF2B5EF4-FFF2-40B4-BE49-F238E27FC236}">
              <a16:creationId xmlns:a16="http://schemas.microsoft.com/office/drawing/2014/main" id="{3A50DA35-ACAA-C431-CD2C-7CF3ED9F59CA}"/>
            </a:ext>
          </a:extLst>
        </xdr:cNvPr>
        <xdr:cNvSpPr/>
      </xdr:nvSpPr>
      <xdr:spPr>
        <a:xfrm>
          <a:off x="4321629" y="1141445"/>
          <a:ext cx="2999014" cy="450382"/>
        </a:xfrm>
        <a:prstGeom prst="roundRect">
          <a:avLst>
            <a:gd name="adj" fmla="val 12334"/>
          </a:avLst>
        </a:prstGeom>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35169</xdr:colOff>
      <xdr:row>0</xdr:row>
      <xdr:rowOff>31102</xdr:rowOff>
    </xdr:from>
    <xdr:to>
      <xdr:col>12</xdr:col>
      <xdr:colOff>11723</xdr:colOff>
      <xdr:row>5</xdr:row>
      <xdr:rowOff>176244</xdr:rowOff>
    </xdr:to>
    <xdr:sp macro="" textlink="">
      <xdr:nvSpPr>
        <xdr:cNvPr id="15" name="Rectangle: Rounded Corners 14">
          <a:extLst>
            <a:ext uri="{FF2B5EF4-FFF2-40B4-BE49-F238E27FC236}">
              <a16:creationId xmlns:a16="http://schemas.microsoft.com/office/drawing/2014/main" id="{D0DEE650-583E-AA6A-47EE-C4CACADD83D4}"/>
            </a:ext>
          </a:extLst>
        </xdr:cNvPr>
        <xdr:cNvSpPr/>
      </xdr:nvSpPr>
      <xdr:spPr>
        <a:xfrm>
          <a:off x="4302369" y="31102"/>
          <a:ext cx="3024554" cy="1070428"/>
        </a:xfrm>
        <a:prstGeom prst="roundRect">
          <a:avLst>
            <a:gd name="adj" fmla="val 4358"/>
          </a:avLst>
        </a:prstGeom>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46892</xdr:colOff>
      <xdr:row>8</xdr:row>
      <xdr:rowOff>140676</xdr:rowOff>
    </xdr:from>
    <xdr:to>
      <xdr:col>12</xdr:col>
      <xdr:colOff>11723</xdr:colOff>
      <xdr:row>17</xdr:row>
      <xdr:rowOff>174172</xdr:rowOff>
    </xdr:to>
    <xdr:sp macro="" textlink="">
      <xdr:nvSpPr>
        <xdr:cNvPr id="16" name="Rectangle: Rounded Corners 15">
          <a:extLst>
            <a:ext uri="{FF2B5EF4-FFF2-40B4-BE49-F238E27FC236}">
              <a16:creationId xmlns:a16="http://schemas.microsoft.com/office/drawing/2014/main" id="{B394DFAE-BEAA-F647-4304-D3C494E07428}"/>
            </a:ext>
          </a:extLst>
        </xdr:cNvPr>
        <xdr:cNvSpPr/>
      </xdr:nvSpPr>
      <xdr:spPr>
        <a:xfrm>
          <a:off x="4314092" y="1621133"/>
          <a:ext cx="3012831" cy="1699010"/>
        </a:xfrm>
        <a:prstGeom prst="roundRect">
          <a:avLst>
            <a:gd name="adj" fmla="val 3689"/>
          </a:avLst>
        </a:prstGeom>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597876</xdr:colOff>
      <xdr:row>0</xdr:row>
      <xdr:rowOff>76200</xdr:rowOff>
    </xdr:from>
    <xdr:to>
      <xdr:col>5</xdr:col>
      <xdr:colOff>263769</xdr:colOff>
      <xdr:row>1</xdr:row>
      <xdr:rowOff>99646</xdr:rowOff>
    </xdr:to>
    <xdr:sp macro="" textlink="">
      <xdr:nvSpPr>
        <xdr:cNvPr id="26" name="TextBox 25">
          <a:extLst>
            <a:ext uri="{FF2B5EF4-FFF2-40B4-BE49-F238E27FC236}">
              <a16:creationId xmlns:a16="http://schemas.microsoft.com/office/drawing/2014/main" id="{7A8ED847-F1FA-3B19-CCC1-94325CEB4873}"/>
            </a:ext>
          </a:extLst>
        </xdr:cNvPr>
        <xdr:cNvSpPr txBox="1"/>
      </xdr:nvSpPr>
      <xdr:spPr>
        <a:xfrm>
          <a:off x="597876" y="76200"/>
          <a:ext cx="2713893" cy="205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a:latin typeface="Book Antiqua" panose="02040602050305030304" pitchFamily="18" charset="0"/>
            </a:rPr>
            <a:t>Hospital Emergency Room Dashboard</a:t>
          </a:r>
        </a:p>
      </xdr:txBody>
    </xdr:sp>
    <xdr:clientData/>
  </xdr:twoCellAnchor>
  <xdr:twoCellAnchor editAs="oneCell">
    <xdr:from>
      <xdr:col>0</xdr:col>
      <xdr:colOff>0</xdr:colOff>
      <xdr:row>0</xdr:row>
      <xdr:rowOff>70339</xdr:rowOff>
    </xdr:from>
    <xdr:to>
      <xdr:col>1</xdr:col>
      <xdr:colOff>70338</xdr:colOff>
      <xdr:row>3</xdr:row>
      <xdr:rowOff>2606</xdr:rowOff>
    </xdr:to>
    <xdr:pic>
      <xdr:nvPicPr>
        <xdr:cNvPr id="28" name="Picture 27">
          <a:extLst>
            <a:ext uri="{FF2B5EF4-FFF2-40B4-BE49-F238E27FC236}">
              <a16:creationId xmlns:a16="http://schemas.microsoft.com/office/drawing/2014/main" id="{061B904C-DC87-7C3B-50E2-6B985116310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644" t="12722" r="16438" b="8633"/>
        <a:stretch>
          <a:fillRect/>
        </a:stretch>
      </xdr:blipFill>
      <xdr:spPr>
        <a:xfrm>
          <a:off x="0" y="70339"/>
          <a:ext cx="679938" cy="474784"/>
        </a:xfrm>
        <a:prstGeom prst="rect">
          <a:avLst/>
        </a:prstGeom>
      </xdr:spPr>
    </xdr:pic>
    <xdr:clientData/>
  </xdr:twoCellAnchor>
  <xdr:twoCellAnchor editAs="absolute">
    <xdr:from>
      <xdr:col>0</xdr:col>
      <xdr:colOff>46892</xdr:colOff>
      <xdr:row>3</xdr:row>
      <xdr:rowOff>87923</xdr:rowOff>
    </xdr:from>
    <xdr:to>
      <xdr:col>2</xdr:col>
      <xdr:colOff>93785</xdr:colOff>
      <xdr:row>4</xdr:row>
      <xdr:rowOff>99646</xdr:rowOff>
    </xdr:to>
    <xdr:sp macro="" textlink="">
      <xdr:nvSpPr>
        <xdr:cNvPr id="29" name="TextBox 28">
          <a:extLst>
            <a:ext uri="{FF2B5EF4-FFF2-40B4-BE49-F238E27FC236}">
              <a16:creationId xmlns:a16="http://schemas.microsoft.com/office/drawing/2014/main" id="{3D579BA2-C954-D4E1-C4DA-41F2593A4B0C}"/>
            </a:ext>
          </a:extLst>
        </xdr:cNvPr>
        <xdr:cNvSpPr txBox="1"/>
      </xdr:nvSpPr>
      <xdr:spPr>
        <a:xfrm>
          <a:off x="46892" y="633046"/>
          <a:ext cx="1266093" cy="1934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latin typeface="Book Antiqua" panose="02040602050305030304" pitchFamily="18" charset="0"/>
            </a:rPr>
            <a:t>No.</a:t>
          </a:r>
          <a:r>
            <a:rPr lang="en-US" sz="900" baseline="0">
              <a:latin typeface="Book Antiqua" panose="02040602050305030304" pitchFamily="18" charset="0"/>
            </a:rPr>
            <a:t> of Patients</a:t>
          </a:r>
          <a:endParaRPr lang="en-US" sz="900">
            <a:latin typeface="Book Antiqua" panose="02040602050305030304" pitchFamily="18" charset="0"/>
          </a:endParaRPr>
        </a:p>
      </xdr:txBody>
    </xdr:sp>
    <xdr:clientData/>
  </xdr:twoCellAnchor>
  <xdr:twoCellAnchor editAs="absolute">
    <xdr:from>
      <xdr:col>0</xdr:col>
      <xdr:colOff>52753</xdr:colOff>
      <xdr:row>4</xdr:row>
      <xdr:rowOff>117230</xdr:rowOff>
    </xdr:from>
    <xdr:to>
      <xdr:col>2</xdr:col>
      <xdr:colOff>105507</xdr:colOff>
      <xdr:row>5</xdr:row>
      <xdr:rowOff>140677</xdr:rowOff>
    </xdr:to>
    <xdr:sp macro="" textlink="'Pivot Report'!A5">
      <xdr:nvSpPr>
        <xdr:cNvPr id="30" name="TextBox 29">
          <a:extLst>
            <a:ext uri="{FF2B5EF4-FFF2-40B4-BE49-F238E27FC236}">
              <a16:creationId xmlns:a16="http://schemas.microsoft.com/office/drawing/2014/main" id="{0DB922C9-A751-B9A0-74B8-95C9968629AF}"/>
            </a:ext>
          </a:extLst>
        </xdr:cNvPr>
        <xdr:cNvSpPr txBox="1"/>
      </xdr:nvSpPr>
      <xdr:spPr>
        <a:xfrm>
          <a:off x="52753" y="844061"/>
          <a:ext cx="1271954" cy="205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3BECB9FA-2312-4981-B8E6-AA8AF5CA8A29}" type="TxLink">
            <a:rPr lang="en-US" sz="1100" b="0" i="0" u="none" strike="noStrike">
              <a:solidFill>
                <a:srgbClr val="000000"/>
              </a:solidFill>
              <a:latin typeface="Calibri"/>
              <a:ea typeface="Calibri"/>
              <a:cs typeface="Calibri"/>
            </a:rPr>
            <a:t>513</a:t>
          </a:fld>
          <a:endParaRPr lang="en-US" sz="1100">
            <a:latin typeface="Book Antiqua" panose="02040602050305030304" pitchFamily="18" charset="0"/>
          </a:endParaRPr>
        </a:p>
      </xdr:txBody>
    </xdr:sp>
    <xdr:clientData/>
  </xdr:twoCellAnchor>
  <xdr:twoCellAnchor editAs="absolute">
    <xdr:from>
      <xdr:col>2</xdr:col>
      <xdr:colOff>187569</xdr:colOff>
      <xdr:row>3</xdr:row>
      <xdr:rowOff>82061</xdr:rowOff>
    </xdr:from>
    <xdr:to>
      <xdr:col>4</xdr:col>
      <xdr:colOff>357554</xdr:colOff>
      <xdr:row>4</xdr:row>
      <xdr:rowOff>105507</xdr:rowOff>
    </xdr:to>
    <xdr:sp macro="" textlink="">
      <xdr:nvSpPr>
        <xdr:cNvPr id="31" name="TextBox 30">
          <a:extLst>
            <a:ext uri="{FF2B5EF4-FFF2-40B4-BE49-F238E27FC236}">
              <a16:creationId xmlns:a16="http://schemas.microsoft.com/office/drawing/2014/main" id="{FB13ABE0-EDB1-B793-E76F-996959285E27}"/>
            </a:ext>
          </a:extLst>
        </xdr:cNvPr>
        <xdr:cNvSpPr txBox="1"/>
      </xdr:nvSpPr>
      <xdr:spPr>
        <a:xfrm>
          <a:off x="1406769" y="627184"/>
          <a:ext cx="1389185" cy="205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latin typeface="Book Antiqua" panose="02040602050305030304" pitchFamily="18" charset="0"/>
            </a:rPr>
            <a:t>Avg Wait Time</a:t>
          </a:r>
        </a:p>
      </xdr:txBody>
    </xdr:sp>
    <xdr:clientData/>
  </xdr:twoCellAnchor>
  <xdr:twoCellAnchor editAs="absolute">
    <xdr:from>
      <xdr:col>2</xdr:col>
      <xdr:colOff>257908</xdr:colOff>
      <xdr:row>4</xdr:row>
      <xdr:rowOff>99645</xdr:rowOff>
    </xdr:from>
    <xdr:to>
      <xdr:col>4</xdr:col>
      <xdr:colOff>427891</xdr:colOff>
      <xdr:row>5</xdr:row>
      <xdr:rowOff>123092</xdr:rowOff>
    </xdr:to>
    <xdr:sp macro="" textlink="'Pivot Report'!A8">
      <xdr:nvSpPr>
        <xdr:cNvPr id="32" name="TextBox 31">
          <a:extLst>
            <a:ext uri="{FF2B5EF4-FFF2-40B4-BE49-F238E27FC236}">
              <a16:creationId xmlns:a16="http://schemas.microsoft.com/office/drawing/2014/main" id="{8D1EAFD5-A81A-D096-4CF7-A2396D96618D}"/>
            </a:ext>
          </a:extLst>
        </xdr:cNvPr>
        <xdr:cNvSpPr txBox="1"/>
      </xdr:nvSpPr>
      <xdr:spPr>
        <a:xfrm>
          <a:off x="1477108" y="826476"/>
          <a:ext cx="1389183" cy="205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F8BBA646-AB0B-4DF1-9F2C-66381CFA4F50}" type="TxLink">
            <a:rPr lang="en-US" sz="1100" b="0" i="0" u="none" strike="noStrike">
              <a:solidFill>
                <a:srgbClr val="000000"/>
              </a:solidFill>
              <a:latin typeface="Calibri"/>
              <a:ea typeface="Calibri"/>
              <a:cs typeface="Calibri"/>
            </a:rPr>
            <a:t>36.32</a:t>
          </a:fld>
          <a:endParaRPr lang="en-US" sz="1100">
            <a:latin typeface="Book Antiqua" panose="02040602050305030304" pitchFamily="18" charset="0"/>
          </a:endParaRPr>
        </a:p>
      </xdr:txBody>
    </xdr:sp>
    <xdr:clientData/>
  </xdr:twoCellAnchor>
  <xdr:twoCellAnchor editAs="absolute">
    <xdr:from>
      <xdr:col>4</xdr:col>
      <xdr:colOff>445477</xdr:colOff>
      <xdr:row>3</xdr:row>
      <xdr:rowOff>82061</xdr:rowOff>
    </xdr:from>
    <xdr:to>
      <xdr:col>6</xdr:col>
      <xdr:colOff>509954</xdr:colOff>
      <xdr:row>4</xdr:row>
      <xdr:rowOff>105507</xdr:rowOff>
    </xdr:to>
    <xdr:sp macro="" textlink="">
      <xdr:nvSpPr>
        <xdr:cNvPr id="33" name="TextBox 32">
          <a:extLst>
            <a:ext uri="{FF2B5EF4-FFF2-40B4-BE49-F238E27FC236}">
              <a16:creationId xmlns:a16="http://schemas.microsoft.com/office/drawing/2014/main" id="{66432B8D-A151-8B9E-FD66-C37F34815FC4}"/>
            </a:ext>
          </a:extLst>
        </xdr:cNvPr>
        <xdr:cNvSpPr txBox="1"/>
      </xdr:nvSpPr>
      <xdr:spPr>
        <a:xfrm>
          <a:off x="2883877" y="627184"/>
          <a:ext cx="1283677" cy="205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baseline="0">
              <a:latin typeface="Book Antiqua" panose="02040602050305030304" pitchFamily="18" charset="0"/>
            </a:rPr>
            <a:t>Patient Satisfaction Score</a:t>
          </a:r>
          <a:endParaRPr lang="en-US" sz="900">
            <a:latin typeface="Book Antiqua" panose="02040602050305030304" pitchFamily="18" charset="0"/>
          </a:endParaRPr>
        </a:p>
      </xdr:txBody>
    </xdr:sp>
    <xdr:clientData/>
  </xdr:twoCellAnchor>
  <xdr:twoCellAnchor editAs="absolute">
    <xdr:from>
      <xdr:col>4</xdr:col>
      <xdr:colOff>457200</xdr:colOff>
      <xdr:row>4</xdr:row>
      <xdr:rowOff>105507</xdr:rowOff>
    </xdr:from>
    <xdr:to>
      <xdr:col>7</xdr:col>
      <xdr:colOff>23446</xdr:colOff>
      <xdr:row>5</xdr:row>
      <xdr:rowOff>128954</xdr:rowOff>
    </xdr:to>
    <xdr:sp macro="" textlink="'Pivot Report'!A11">
      <xdr:nvSpPr>
        <xdr:cNvPr id="34" name="TextBox 33">
          <a:extLst>
            <a:ext uri="{FF2B5EF4-FFF2-40B4-BE49-F238E27FC236}">
              <a16:creationId xmlns:a16="http://schemas.microsoft.com/office/drawing/2014/main" id="{53B1DF5F-4B8A-C95A-B97D-A1DE04C5E617}"/>
            </a:ext>
          </a:extLst>
        </xdr:cNvPr>
        <xdr:cNvSpPr txBox="1"/>
      </xdr:nvSpPr>
      <xdr:spPr>
        <a:xfrm>
          <a:off x="2895600" y="832338"/>
          <a:ext cx="1395046" cy="205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AFF98AD5-A006-4127-8471-997CAD6EB484}" type="TxLink">
            <a:rPr lang="en-US" sz="1100" b="0" i="0" u="none" strike="noStrike">
              <a:solidFill>
                <a:srgbClr val="000000"/>
              </a:solidFill>
              <a:latin typeface="Calibri"/>
              <a:ea typeface="Calibri"/>
              <a:cs typeface="Calibri"/>
            </a:rPr>
            <a:t>4.96</a:t>
          </a:fld>
          <a:endParaRPr lang="en-US" sz="1100">
            <a:latin typeface="Book Antiqua" panose="02040602050305030304" pitchFamily="18" charset="0"/>
          </a:endParaRPr>
        </a:p>
      </xdr:txBody>
    </xdr:sp>
    <xdr:clientData/>
  </xdr:twoCellAnchor>
  <xdr:twoCellAnchor editAs="oneCell">
    <xdr:from>
      <xdr:col>0</xdr:col>
      <xdr:colOff>269630</xdr:colOff>
      <xdr:row>4</xdr:row>
      <xdr:rowOff>99646</xdr:rowOff>
    </xdr:from>
    <xdr:to>
      <xdr:col>0</xdr:col>
      <xdr:colOff>474784</xdr:colOff>
      <xdr:row>5</xdr:row>
      <xdr:rowOff>123093</xdr:rowOff>
    </xdr:to>
    <xdr:pic>
      <xdr:nvPicPr>
        <xdr:cNvPr id="36" name="Graphic 35" descr="Male profile with solid fill">
          <a:extLst>
            <a:ext uri="{FF2B5EF4-FFF2-40B4-BE49-F238E27FC236}">
              <a16:creationId xmlns:a16="http://schemas.microsoft.com/office/drawing/2014/main" id="{B61DE93B-D006-8BF6-DBDE-568F2885B1B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69630" y="826477"/>
          <a:ext cx="205154" cy="205154"/>
        </a:xfrm>
        <a:prstGeom prst="rect">
          <a:avLst/>
        </a:prstGeom>
      </xdr:spPr>
    </xdr:pic>
    <xdr:clientData/>
  </xdr:twoCellAnchor>
  <xdr:twoCellAnchor editAs="oneCell">
    <xdr:from>
      <xdr:col>2</xdr:col>
      <xdr:colOff>422033</xdr:colOff>
      <xdr:row>4</xdr:row>
      <xdr:rowOff>82063</xdr:rowOff>
    </xdr:from>
    <xdr:to>
      <xdr:col>3</xdr:col>
      <xdr:colOff>52755</xdr:colOff>
      <xdr:row>5</xdr:row>
      <xdr:rowOff>140678</xdr:rowOff>
    </xdr:to>
    <xdr:pic>
      <xdr:nvPicPr>
        <xdr:cNvPr id="38" name="Graphic 37" descr="Clock with solid fill">
          <a:extLst>
            <a:ext uri="{FF2B5EF4-FFF2-40B4-BE49-F238E27FC236}">
              <a16:creationId xmlns:a16="http://schemas.microsoft.com/office/drawing/2014/main" id="{5E98878C-62BA-3C40-9895-B07A643ECFF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641233" y="808894"/>
          <a:ext cx="240322" cy="240322"/>
        </a:xfrm>
        <a:prstGeom prst="rect">
          <a:avLst/>
        </a:prstGeom>
      </xdr:spPr>
    </xdr:pic>
    <xdr:clientData/>
  </xdr:twoCellAnchor>
  <xdr:twoCellAnchor editAs="oneCell">
    <xdr:from>
      <xdr:col>4</xdr:col>
      <xdr:colOff>607201</xdr:colOff>
      <xdr:row>4</xdr:row>
      <xdr:rowOff>97245</xdr:rowOff>
    </xdr:from>
    <xdr:to>
      <xdr:col>5</xdr:col>
      <xdr:colOff>205154</xdr:colOff>
      <xdr:row>5</xdr:row>
      <xdr:rowOff>123091</xdr:rowOff>
    </xdr:to>
    <xdr:pic>
      <xdr:nvPicPr>
        <xdr:cNvPr id="40" name="Graphic 39" descr="Customer review with solid fill">
          <a:extLst>
            <a:ext uri="{FF2B5EF4-FFF2-40B4-BE49-F238E27FC236}">
              <a16:creationId xmlns:a16="http://schemas.microsoft.com/office/drawing/2014/main" id="{F56A3072-2A5C-C585-5026-9AE8FD151D9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045601" y="824076"/>
          <a:ext cx="207553" cy="207553"/>
        </a:xfrm>
        <a:prstGeom prst="rect">
          <a:avLst/>
        </a:prstGeom>
      </xdr:spPr>
    </xdr:pic>
    <xdr:clientData/>
  </xdr:twoCellAnchor>
  <xdr:twoCellAnchor editAs="oneCell">
    <xdr:from>
      <xdr:col>12</xdr:col>
      <xdr:colOff>94956</xdr:colOff>
      <xdr:row>0</xdr:row>
      <xdr:rowOff>64477</xdr:rowOff>
    </xdr:from>
    <xdr:to>
      <xdr:col>13</xdr:col>
      <xdr:colOff>228599</xdr:colOff>
      <xdr:row>17</xdr:row>
      <xdr:rowOff>108858</xdr:rowOff>
    </xdr:to>
    <mc:AlternateContent xmlns:mc="http://schemas.openxmlformats.org/markup-compatibility/2006">
      <mc:Choice xmlns:a14="http://schemas.microsoft.com/office/drawing/2010/main" Requires="a14">
        <xdr:graphicFrame macro="">
          <xdr:nvGraphicFramePr>
            <xdr:cNvPr id="41" name="Date (Month)">
              <a:extLst>
                <a:ext uri="{FF2B5EF4-FFF2-40B4-BE49-F238E27FC236}">
                  <a16:creationId xmlns:a16="http://schemas.microsoft.com/office/drawing/2014/main" id="{BE31D65F-4F1E-4F6A-AF4F-AD8359714648}"/>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7410156" y="64477"/>
              <a:ext cx="743243" cy="31847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48986</xdr:colOff>
      <xdr:row>5</xdr:row>
      <xdr:rowOff>30145</xdr:rowOff>
    </xdr:from>
    <xdr:to>
      <xdr:col>2</xdr:col>
      <xdr:colOff>136071</xdr:colOff>
      <xdr:row>7</xdr:row>
      <xdr:rowOff>119743</xdr:rowOff>
    </xdr:to>
    <xdr:graphicFrame macro="">
      <xdr:nvGraphicFramePr>
        <xdr:cNvPr id="42" name="Chart 41">
          <a:extLst>
            <a:ext uri="{FF2B5EF4-FFF2-40B4-BE49-F238E27FC236}">
              <a16:creationId xmlns:a16="http://schemas.microsoft.com/office/drawing/2014/main" id="{2FDD9C47-3B42-4216-8B0B-507BE7B46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185058</xdr:colOff>
      <xdr:row>6</xdr:row>
      <xdr:rowOff>16328</xdr:rowOff>
    </xdr:from>
    <xdr:to>
      <xdr:col>4</xdr:col>
      <xdr:colOff>386443</xdr:colOff>
      <xdr:row>7</xdr:row>
      <xdr:rowOff>119743</xdr:rowOff>
    </xdr:to>
    <xdr:graphicFrame macro="">
      <xdr:nvGraphicFramePr>
        <xdr:cNvPr id="45" name="Chart 44">
          <a:extLst>
            <a:ext uri="{FF2B5EF4-FFF2-40B4-BE49-F238E27FC236}">
              <a16:creationId xmlns:a16="http://schemas.microsoft.com/office/drawing/2014/main" id="{35F4196E-63A2-42AE-A051-753CE44099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440870</xdr:colOff>
      <xdr:row>5</xdr:row>
      <xdr:rowOff>119743</xdr:rowOff>
    </xdr:from>
    <xdr:to>
      <xdr:col>7</xdr:col>
      <xdr:colOff>10885</xdr:colOff>
      <xdr:row>7</xdr:row>
      <xdr:rowOff>136071</xdr:rowOff>
    </xdr:to>
    <xdr:graphicFrame macro="">
      <xdr:nvGraphicFramePr>
        <xdr:cNvPr id="46" name="Chart 45">
          <a:extLst>
            <a:ext uri="{FF2B5EF4-FFF2-40B4-BE49-F238E27FC236}">
              <a16:creationId xmlns:a16="http://schemas.microsoft.com/office/drawing/2014/main" id="{4E6D6AEB-7A18-4704-A631-F2330E10EE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38099</xdr:colOff>
          <xdr:row>6</xdr:row>
          <xdr:rowOff>34947</xdr:rowOff>
        </xdr:from>
        <xdr:to>
          <xdr:col>12</xdr:col>
          <xdr:colOff>10886</xdr:colOff>
          <xdr:row>8</xdr:row>
          <xdr:rowOff>100150</xdr:rowOff>
        </xdr:to>
        <xdr:pic>
          <xdr:nvPicPr>
            <xdr:cNvPr id="52" name="Picture 51">
              <a:extLst>
                <a:ext uri="{FF2B5EF4-FFF2-40B4-BE49-F238E27FC236}">
                  <a16:creationId xmlns:a16="http://schemas.microsoft.com/office/drawing/2014/main" id="{167DBCA7-4A59-86AE-8F24-0919B32170C7}"/>
                </a:ext>
              </a:extLst>
            </xdr:cNvPr>
            <xdr:cNvPicPr>
              <a:picLocks noChangeAspect="1" noChangeArrowheads="1"/>
              <a:extLst>
                <a:ext uri="{84589F7E-364E-4C9E-8A38-B11213B215E9}">
                  <a14:cameraTool cellRange="'Pivot Report'!$A$45:$D$47" spid="_x0000_s4108"/>
                </a:ext>
              </a:extLst>
            </xdr:cNvPicPr>
          </xdr:nvPicPr>
          <xdr:blipFill>
            <a:blip xmlns:r="http://schemas.openxmlformats.org/officeDocument/2006/relationships" r:embed="rId11"/>
            <a:srcRect/>
            <a:stretch>
              <a:fillRect/>
            </a:stretch>
          </xdr:blipFill>
          <xdr:spPr bwMode="auto">
            <a:xfrm>
              <a:off x="4305299" y="1145290"/>
              <a:ext cx="3020787" cy="435317"/>
            </a:xfrm>
            <a:prstGeom prst="roundRect">
              <a:avLst>
                <a:gd name="adj" fmla="val 16667"/>
              </a:avLst>
            </a:prstGeom>
            <a:ln>
              <a:noFill/>
            </a:ln>
            <a:effectLst>
              <a:outerShdw blurRad="76200" dist="38100" dir="7800000" algn="tl" rotWithShape="0">
                <a:srgbClr val="000000">
                  <a:alpha val="40000"/>
                </a:srgbClr>
              </a:outerShdw>
            </a:effectLst>
            <a:extLst>
              <a:ext uri="{909E8E84-426E-40DD-AFC4-6F175D3DCCD1}">
                <a14:hiddenFill>
                  <a:solidFill>
                    <a:srgbClr val="FFFFFF"/>
                  </a:solidFill>
                </a14:hiddenFill>
              </a:ext>
            </a:extLst>
          </xdr:spPr>
        </xdr:pic>
        <xdr:clientData/>
      </xdr:twoCellAnchor>
    </mc:Choice>
    <mc:Fallback/>
  </mc:AlternateContent>
  <xdr:twoCellAnchor>
    <xdr:from>
      <xdr:col>7</xdr:col>
      <xdr:colOff>27213</xdr:colOff>
      <xdr:row>0</xdr:row>
      <xdr:rowOff>54429</xdr:rowOff>
    </xdr:from>
    <xdr:to>
      <xdr:col>11</xdr:col>
      <xdr:colOff>587828</xdr:colOff>
      <xdr:row>5</xdr:row>
      <xdr:rowOff>141514</xdr:rowOff>
    </xdr:to>
    <xdr:graphicFrame macro="">
      <xdr:nvGraphicFramePr>
        <xdr:cNvPr id="53" name="Chart 52">
          <a:extLst>
            <a:ext uri="{FF2B5EF4-FFF2-40B4-BE49-F238E27FC236}">
              <a16:creationId xmlns:a16="http://schemas.microsoft.com/office/drawing/2014/main" id="{E13E9BAD-328B-4808-B1EB-926AB18328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8</xdr:col>
      <xdr:colOff>321128</xdr:colOff>
      <xdr:row>4</xdr:row>
      <xdr:rowOff>179614</xdr:rowOff>
    </xdr:from>
    <xdr:to>
      <xdr:col>10</xdr:col>
      <xdr:colOff>368021</xdr:colOff>
      <xdr:row>6</xdr:row>
      <xdr:rowOff>6281</xdr:rowOff>
    </xdr:to>
    <xdr:sp macro="" textlink="">
      <xdr:nvSpPr>
        <xdr:cNvPr id="54" name="TextBox 53">
          <a:extLst>
            <a:ext uri="{FF2B5EF4-FFF2-40B4-BE49-F238E27FC236}">
              <a16:creationId xmlns:a16="http://schemas.microsoft.com/office/drawing/2014/main" id="{5F4154A4-F511-4056-ADAA-9DEE7FEF6C02}"/>
            </a:ext>
          </a:extLst>
        </xdr:cNvPr>
        <xdr:cNvSpPr txBox="1"/>
      </xdr:nvSpPr>
      <xdr:spPr>
        <a:xfrm>
          <a:off x="5197928" y="919843"/>
          <a:ext cx="1266093" cy="196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600">
              <a:latin typeface="Book Antiqua" panose="02040602050305030304" pitchFamily="18" charset="0"/>
            </a:rPr>
            <a:t>No.</a:t>
          </a:r>
          <a:r>
            <a:rPr lang="en-US" sz="600" baseline="0">
              <a:latin typeface="Book Antiqua" panose="02040602050305030304" pitchFamily="18" charset="0"/>
            </a:rPr>
            <a:t> of Patients by Age Group</a:t>
          </a:r>
          <a:endParaRPr lang="en-US" sz="600">
            <a:latin typeface="Book Antiqua" panose="02040602050305030304" pitchFamily="18" charset="0"/>
          </a:endParaRPr>
        </a:p>
      </xdr:txBody>
    </xdr:sp>
    <xdr:clientData/>
  </xdr:twoCellAnchor>
  <xdr:twoCellAnchor>
    <xdr:from>
      <xdr:col>0</xdr:col>
      <xdr:colOff>163283</xdr:colOff>
      <xdr:row>7</xdr:row>
      <xdr:rowOff>174171</xdr:rowOff>
    </xdr:from>
    <xdr:to>
      <xdr:col>3</xdr:col>
      <xdr:colOff>190498</xdr:colOff>
      <xdr:row>17</xdr:row>
      <xdr:rowOff>114299</xdr:rowOff>
    </xdr:to>
    <xdr:graphicFrame macro="">
      <xdr:nvGraphicFramePr>
        <xdr:cNvPr id="55" name="Chart 54">
          <a:extLst>
            <a:ext uri="{FF2B5EF4-FFF2-40B4-BE49-F238E27FC236}">
              <a16:creationId xmlns:a16="http://schemas.microsoft.com/office/drawing/2014/main" id="{D2FBBE22-C308-4F99-9F4E-87087DB5B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0</xdr:col>
      <xdr:colOff>435680</xdr:colOff>
      <xdr:row>16</xdr:row>
      <xdr:rowOff>175847</xdr:rowOff>
    </xdr:from>
    <xdr:to>
      <xdr:col>2</xdr:col>
      <xdr:colOff>482573</xdr:colOff>
      <xdr:row>18</xdr:row>
      <xdr:rowOff>2513</xdr:rowOff>
    </xdr:to>
    <xdr:sp macro="" textlink="">
      <xdr:nvSpPr>
        <xdr:cNvPr id="57" name="TextBox 56">
          <a:extLst>
            <a:ext uri="{FF2B5EF4-FFF2-40B4-BE49-F238E27FC236}">
              <a16:creationId xmlns:a16="http://schemas.microsoft.com/office/drawing/2014/main" id="{4743CEE2-8B1D-4AB8-A843-9E74C983F369}"/>
            </a:ext>
          </a:extLst>
        </xdr:cNvPr>
        <xdr:cNvSpPr txBox="1"/>
      </xdr:nvSpPr>
      <xdr:spPr>
        <a:xfrm>
          <a:off x="435680" y="3136761"/>
          <a:ext cx="1266093" cy="196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700">
              <a:latin typeface="Book Antiqua" panose="02040602050305030304" pitchFamily="18" charset="0"/>
            </a:rPr>
            <a:t>Patient Attend</a:t>
          </a:r>
          <a:r>
            <a:rPr lang="en-US" sz="700" baseline="0">
              <a:latin typeface="Book Antiqua" panose="02040602050305030304" pitchFamily="18" charset="0"/>
            </a:rPr>
            <a:t> Status</a:t>
          </a:r>
          <a:endParaRPr lang="en-US" sz="700">
            <a:latin typeface="Book Antiqua" panose="02040602050305030304" pitchFamily="18" charset="0"/>
          </a:endParaRPr>
        </a:p>
      </xdr:txBody>
    </xdr:sp>
    <xdr:clientData/>
  </xdr:twoCellAnchor>
  <xdr:twoCellAnchor>
    <xdr:from>
      <xdr:col>3</xdr:col>
      <xdr:colOff>386443</xdr:colOff>
      <xdr:row>8</xdr:row>
      <xdr:rowOff>0</xdr:rowOff>
    </xdr:from>
    <xdr:to>
      <xdr:col>6</xdr:col>
      <xdr:colOff>582386</xdr:colOff>
      <xdr:row>17</xdr:row>
      <xdr:rowOff>146958</xdr:rowOff>
    </xdr:to>
    <xdr:graphicFrame macro="">
      <xdr:nvGraphicFramePr>
        <xdr:cNvPr id="58" name="Chart 57">
          <a:extLst>
            <a:ext uri="{FF2B5EF4-FFF2-40B4-BE49-F238E27FC236}">
              <a16:creationId xmlns:a16="http://schemas.microsoft.com/office/drawing/2014/main" id="{A58AE2D5-4328-4CAD-8723-82E8BF15E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4</xdr:col>
      <xdr:colOff>174423</xdr:colOff>
      <xdr:row>16</xdr:row>
      <xdr:rowOff>164961</xdr:rowOff>
    </xdr:from>
    <xdr:to>
      <xdr:col>6</xdr:col>
      <xdr:colOff>221316</xdr:colOff>
      <xdr:row>17</xdr:row>
      <xdr:rowOff>176685</xdr:rowOff>
    </xdr:to>
    <xdr:sp macro="" textlink="">
      <xdr:nvSpPr>
        <xdr:cNvPr id="59" name="TextBox 58">
          <a:extLst>
            <a:ext uri="{FF2B5EF4-FFF2-40B4-BE49-F238E27FC236}">
              <a16:creationId xmlns:a16="http://schemas.microsoft.com/office/drawing/2014/main" id="{631B4076-7ABA-40A2-913A-CDF08ACACB5F}"/>
            </a:ext>
          </a:extLst>
        </xdr:cNvPr>
        <xdr:cNvSpPr txBox="1"/>
      </xdr:nvSpPr>
      <xdr:spPr>
        <a:xfrm>
          <a:off x="2612823" y="3125875"/>
          <a:ext cx="1266093" cy="196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700">
              <a:latin typeface="Book Antiqua" panose="02040602050305030304" pitchFamily="18" charset="0"/>
            </a:rPr>
            <a:t>Patient by</a:t>
          </a:r>
          <a:r>
            <a:rPr lang="en-US" sz="700" baseline="0">
              <a:latin typeface="Book Antiqua" panose="02040602050305030304" pitchFamily="18" charset="0"/>
            </a:rPr>
            <a:t> Gender</a:t>
          </a:r>
          <a:endParaRPr lang="en-US" sz="700">
            <a:latin typeface="Book Antiqua" panose="02040602050305030304" pitchFamily="18" charset="0"/>
          </a:endParaRPr>
        </a:p>
      </xdr:txBody>
    </xdr:sp>
    <xdr:clientData/>
  </xdr:twoCellAnchor>
  <xdr:twoCellAnchor>
    <xdr:from>
      <xdr:col>7</xdr:col>
      <xdr:colOff>76200</xdr:colOff>
      <xdr:row>8</xdr:row>
      <xdr:rowOff>179614</xdr:rowOff>
    </xdr:from>
    <xdr:to>
      <xdr:col>11</xdr:col>
      <xdr:colOff>593271</xdr:colOff>
      <xdr:row>17</xdr:row>
      <xdr:rowOff>146958</xdr:rowOff>
    </xdr:to>
    <xdr:graphicFrame macro="">
      <xdr:nvGraphicFramePr>
        <xdr:cNvPr id="60" name="Chart 59">
          <a:extLst>
            <a:ext uri="{FF2B5EF4-FFF2-40B4-BE49-F238E27FC236}">
              <a16:creationId xmlns:a16="http://schemas.microsoft.com/office/drawing/2014/main" id="{B51E04BA-FE25-436D-9F59-63D7E1526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8</xdr:col>
      <xdr:colOff>130881</xdr:colOff>
      <xdr:row>17</xdr:row>
      <xdr:rowOff>12561</xdr:rowOff>
    </xdr:from>
    <xdr:to>
      <xdr:col>11</xdr:col>
      <xdr:colOff>0</xdr:colOff>
      <xdr:row>18</xdr:row>
      <xdr:rowOff>24284</xdr:rowOff>
    </xdr:to>
    <xdr:sp macro="" textlink="">
      <xdr:nvSpPr>
        <xdr:cNvPr id="61" name="TextBox 60">
          <a:extLst>
            <a:ext uri="{FF2B5EF4-FFF2-40B4-BE49-F238E27FC236}">
              <a16:creationId xmlns:a16="http://schemas.microsoft.com/office/drawing/2014/main" id="{2C9F9E3A-D7F2-48B5-8718-E656050EDBF9}"/>
            </a:ext>
          </a:extLst>
        </xdr:cNvPr>
        <xdr:cNvSpPr txBox="1"/>
      </xdr:nvSpPr>
      <xdr:spPr>
        <a:xfrm>
          <a:off x="5007681" y="3158532"/>
          <a:ext cx="1697919" cy="196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700">
              <a:latin typeface="Book Antiqua" panose="02040602050305030304" pitchFamily="18" charset="0"/>
            </a:rPr>
            <a:t>No.</a:t>
          </a:r>
          <a:r>
            <a:rPr lang="en-US" sz="700" baseline="0">
              <a:latin typeface="Book Antiqua" panose="02040602050305030304" pitchFamily="18" charset="0"/>
            </a:rPr>
            <a:t> of Patient by Department Referral</a:t>
          </a:r>
          <a:endParaRPr lang="en-US" sz="700">
            <a:latin typeface="Book Antiqua" panose="02040602050305030304" pitchFamily="18" charset="0"/>
          </a:endParaRPr>
        </a:p>
      </xdr:txBody>
    </xdr:sp>
    <xdr:clientData/>
  </xdr:twoCellAnchor>
  <xdr:twoCellAnchor editAs="oneCell">
    <xdr:from>
      <xdr:col>5</xdr:col>
      <xdr:colOff>315682</xdr:colOff>
      <xdr:row>0</xdr:row>
      <xdr:rowOff>70758</xdr:rowOff>
    </xdr:from>
    <xdr:to>
      <xdr:col>6</xdr:col>
      <xdr:colOff>541130</xdr:colOff>
      <xdr:row>2</xdr:row>
      <xdr:rowOff>179614</xdr:rowOff>
    </xdr:to>
    <mc:AlternateContent xmlns:mc="http://schemas.openxmlformats.org/markup-compatibility/2006">
      <mc:Choice xmlns:a14="http://schemas.microsoft.com/office/drawing/2010/main" Requires="a14">
        <xdr:graphicFrame macro="">
          <xdr:nvGraphicFramePr>
            <xdr:cNvPr id="62" name="Date (Year)">
              <a:extLst>
                <a:ext uri="{FF2B5EF4-FFF2-40B4-BE49-F238E27FC236}">
                  <a16:creationId xmlns:a16="http://schemas.microsoft.com/office/drawing/2014/main" id="{98001351-3CBA-4367-B265-627A5AFE906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363682" y="70758"/>
              <a:ext cx="835048" cy="4783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skar n" refreshedDate="46268.672049537039" createdVersion="5" refreshedVersion="8" minRefreshableVersion="3" recordCount="0" supportSubquery="1" supportAdvancedDrill="1" xr:uid="{58916BE1-A214-43C4-BA37-C02B9A13EE4D}">
  <cacheSource type="external" connectionId="3"/>
  <cacheFields count="4">
    <cacheField name="[Measures].[Count of Patient Id]" caption="Count of Patient Id" numFmtId="0" hierarchy="23" level="32767"/>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skar n" refreshedDate="46268.672049652778" createdVersion="5" refreshedVersion="8" minRefreshableVersion="3" recordCount="0" supportSubquery="1" supportAdvancedDrill="1" xr:uid="{B60C821C-AA66-4299-8822-260AB7CD59EF}">
  <cacheSource type="external" connectionId="3"/>
  <cacheFields count="3">
    <cacheField name="[Measures].[Count of Patient Id]" caption="Count of Patient Id" numFmtId="0" hierarchy="23"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skar n" refreshedDate="46268.672049768516" createdVersion="5" refreshedVersion="8" minRefreshableVersion="3" recordCount="0" supportSubquery="1" supportAdvancedDrill="1" xr:uid="{2042C442-5E23-4D6D-9F05-5446755DB64C}">
  <cacheSource type="external" connectionId="3"/>
  <cacheFields count="3">
    <cacheField name="[Measures].[Average of Patient Waittime]" caption="Average of Patient Waittime" numFmtId="0" hierarchy="25"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skar n" refreshedDate="46268.672050000001" createdVersion="5" refreshedVersion="8" minRefreshableVersion="3" recordCount="0" supportSubquery="1" supportAdvancedDrill="1" xr:uid="{EFDD9ECC-2D27-438B-BD2E-9BF1E342ED9E}">
  <cacheSource type="external" connectionId="3"/>
  <cacheFields count="3">
    <cacheField name="[Measures].[Average of Patient Satisfaction Score]" caption="Average of Patient Satisfaction Score" numFmtId="0" hierarchy="27"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skar n" refreshedDate="46268.672050462963" createdVersion="5" refreshedVersion="8" minRefreshableVersion="3" recordCount="0" supportSubquery="1" supportAdvancedDrill="1" xr:uid="{84F34E9F-A538-499D-9C90-6366C65A1791}">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5"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skar n" refreshedDate="46268.672050925925" createdVersion="5" refreshedVersion="8" minRefreshableVersion="3" recordCount="0" supportSubquery="1" supportAdvancedDrill="1" xr:uid="{33152812-460A-4154-BAC1-8AF4A8FCCD59}">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7"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skar n" refreshedDate="46268.672051273148" createdVersion="5" refreshedVersion="8" minRefreshableVersion="3" recordCount="0" supportSubquery="1" supportAdvancedDrill="1" xr:uid="{DE8D315F-44D2-42C1-B3F4-C1D769DF381D}">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a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skar n" refreshedDate="46268.672051620371" createdVersion="5" refreshedVersion="8" minRefreshableVersion="3" recordCount="0" supportSubquery="1" supportAdvancedDrill="1" xr:uid="{F736DE9C-0D19-418E-8A1C-D9C2BBB35D7D}">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2"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skar n" refreshedDate="46268.672051967595" createdVersion="5" refreshedVersion="8" minRefreshableVersion="3" recordCount="0" supportSubquery="1" supportAdvancedDrill="1" xr:uid="{E246A7B5-B215-4132-B45B-3B8301ECE7C3}">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8"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skar n" refreshedDate="46268.672052314818" createdVersion="5" refreshedVersion="8" minRefreshableVersion="3" recordCount="0" supportSubquery="1" supportAdvancedDrill="1" xr:uid="{02281C89-5F40-42F2-8C81-1E34B7B2D867}">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skar n" refreshedDate="46268.67205277778" createdVersion="5" refreshedVersion="8" minRefreshableVersion="3" recordCount="0" supportSubquery="1" supportAdvancedDrill="1" xr:uid="{E3FD33F9-5DFB-476D-99F9-66111C3F6C19}">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skar n" refreshedDate="46268.672053240742" createdVersion="5" refreshedVersion="8" minRefreshableVersion="3" recordCount="0" supportSubquery="1" supportAdvancedDrill="1" xr:uid="{3B124DF4-2D8B-4958-99E0-CC9CF6D2C17A}">
  <cacheSource type="external" connectionId="3"/>
  <cacheFields count="4">
    <cacheField name="[Calendar_Table].[Date (Month)].[Date (Month)]" caption="Date (Month)" numFmtId="0" hierarchy="1" level="1">
      <sharedItems count="1">
        <s v="Jul"/>
      </sharedItems>
    </cacheField>
    <cacheField name="[Calendar_Table].[Date].[Date]" caption="Date" numFmtId="0" level="1">
      <sharedItems containsSemiMixedTypes="0" containsNonDate="0" containsDate="1" containsString="0" minDate="2023-07-01T00:00:00" maxDate="2024-08-01T00:00:00" count="62">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ar_Table].[Date (Quarter)].[Date (Quarter)]" caption="Date (Quarter)" numFmtId="0" hierarchy="4" level="1">
      <sharedItems count="1">
        <s v="Qtr3"/>
      </sharedItems>
    </cacheField>
    <cacheField name="[Calendar_Table].[Date (Year)].[Date (Year)]" caption="Date (Year)" numFmtId="0" hierarchy="3" level="1">
      <sharedItems count="1">
        <s v="2024"/>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skar n" refreshedDate="46268.661598379629" createdVersion="3" refreshedVersion="8" minRefreshableVersion="3" recordCount="0" supportSubquery="1" supportAdvancedDrill="1" xr:uid="{228FD024-0C9E-481A-AF8A-E1CE9D7E3A9E}">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56746462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E86DF7-6A31-4264-9B0A-B90F9853E33F}" name="PivotTable12" cacheId="1521" applyNumberFormats="0" applyBorderFormats="0" applyFontFormats="0" applyPatternFormats="0" applyAlignmentFormats="0" applyWidthHeightFormats="1" dataCaption="Values" tag="b20c3dd5-1331-4720-b774-e5ae1292a40c" updatedVersion="8" minRefreshableVersion="3" subtotalHiddenItems="1" itemPrintTitles="1" createdVersion="5" indent="0" outline="1" outlineData="1" multipleFieldFilters="0" chartFormat="41">
  <location ref="A86:A88"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126">
      <pivotArea grandRow="1" outline="0" collapsedLevelsAreSubtotals="1" fieldPosition="0"/>
    </format>
    <format dxfId="127">
      <pivotArea outline="0" collapsedLevelsAreSubtotals="1" fieldPosition="0"/>
    </format>
  </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caption="Count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E4A7BD-4136-46F8-88F7-53D7C331F6DC}" name="PivotTable11" cacheId="1518" applyNumberFormats="0" applyBorderFormats="0" applyFontFormats="0" applyPatternFormats="0" applyAlignmentFormats="0" applyWidthHeightFormats="1" dataCaption="Values" tag="68e8b2d5-aa10-49f3-b90d-83d2ecfcbca4" updatedVersion="8" minRefreshableVersion="3" subtotalHiddenItems="1" itemPrintTitles="1" createdVersion="5" indent="0" outline="1" outlineData="1" multipleFieldFilters="0" chartFormat="41">
  <location ref="A74:B83"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2">
    <format dxfId="262">
      <pivotArea grandRow="1" outline="0" collapsedLevelsAreSubtotals="1" fieldPosition="0"/>
    </format>
    <format dxfId="263">
      <pivotArea outline="0" collapsedLevelsAreSubtotals="1" fieldPosition="0"/>
    </format>
  </formats>
  <chartFormats count="1">
    <chartFormat chart="40"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caption="Count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11B3B1-84BB-4A1F-8CCF-6EEC3E52F326}" name="PivotTable10" cacheId="1515" applyNumberFormats="0" applyBorderFormats="0" applyFontFormats="0" applyPatternFormats="0" applyAlignmentFormats="0" applyWidthHeightFormats="1" dataCaption="Values" tag="cb90c812-baed-42ff-95f1-a79478e76bfb" updatedVersion="8" minRefreshableVersion="3" subtotalHiddenItems="1" itemPrintTitles="1" createdVersion="5" indent="0" outline="1" outlineData="1" multipleFieldFilters="0" chartFormat="37">
  <location ref="A68:B7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264">
      <pivotArea grandRow="1" outline="0" collapsedLevelsAreSubtotals="1" fieldPosition="0"/>
    </format>
    <format dxfId="265">
      <pivotArea outline="0" collapsedLevelsAreSubtotals="1" fieldPosition="0"/>
    </format>
  </formats>
  <chartFormats count="3">
    <chartFormat chart="36" format="4" series="1">
      <pivotArea type="data" outline="0" fieldPosition="0">
        <references count="1">
          <reference field="4294967294" count="1" selected="0">
            <x v="0"/>
          </reference>
        </references>
      </pivotArea>
    </chartFormat>
    <chartFormat chart="36" format="5">
      <pivotArea type="data" outline="0" fieldPosition="0">
        <references count="2">
          <reference field="4294967294" count="1" selected="0">
            <x v="0"/>
          </reference>
          <reference field="1" count="1" selected="0">
            <x v="0"/>
          </reference>
        </references>
      </pivotArea>
    </chartFormat>
    <chartFormat chart="36"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caption="Count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CC2202-0841-478D-B8A1-0ED326BD1080}" name="PivotTable9" cacheId="1512" applyNumberFormats="0" applyBorderFormats="0" applyFontFormats="0" applyPatternFormats="0" applyAlignmentFormats="0" applyWidthHeightFormats="1" dataCaption="Values" tag="d4c86424-70a7-4612-af2b-1190e0a385cb" updatedVersion="8" minRefreshableVersion="3" subtotalHiddenItems="1" itemPrintTitles="1" createdVersion="5" indent="0" outline="1" outlineData="1" multipleFieldFilters="0" chartFormat="32">
  <location ref="A62:B6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266">
      <pivotArea grandRow="1" outline="0" collapsedLevelsAreSubtotals="1" fieldPosition="0"/>
    </format>
    <format dxfId="267">
      <pivotArea outline="0" collapsedLevelsAreSubtotals="1" fieldPosition="0"/>
    </format>
  </formats>
  <chartFormats count="3">
    <chartFormat chart="30" format="4" series="1">
      <pivotArea type="data" outline="0" fieldPosition="0">
        <references count="1">
          <reference field="4294967294" count="1" selected="0">
            <x v="0"/>
          </reference>
        </references>
      </pivotArea>
    </chartFormat>
    <chartFormat chart="30" format="5">
      <pivotArea type="data" outline="0" fieldPosition="0">
        <references count="2">
          <reference field="4294967294" count="1" selected="0">
            <x v="0"/>
          </reference>
          <reference field="1" count="1" selected="0">
            <x v="0"/>
          </reference>
        </references>
      </pivotArea>
    </chartFormat>
    <chartFormat chart="30"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caption="Count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0A3C1A-F13E-4556-B14C-A406FB0F12F5}" name="PivotTable8" cacheId="1509" applyNumberFormats="0" applyBorderFormats="0" applyFontFormats="0" applyPatternFormats="0" applyAlignmentFormats="0" applyWidthHeightFormats="1" dataCaption="Values" tag="eb27940f-b598-4633-b9e0-8d7753a9b643" updatedVersion="8" minRefreshableVersion="3" subtotalHiddenItems="1" itemPrintTitles="1" createdVersion="5" indent="0" outline="1" outlineData="1" multipleFieldFilters="0" chartFormat="27">
  <location ref="A50:B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1" baseItem="0" numFmtId="1"/>
  </dataFields>
  <formats count="2">
    <format dxfId="273">
      <pivotArea grandRow="1" outline="0" collapsedLevelsAreSubtotals="1" fieldPosition="0"/>
    </format>
    <format dxfId="268">
      <pivotArea outline="0" collapsedLevelsAreSubtotals="1" fieldPosition="0"/>
    </format>
  </formats>
  <chartFormats count="1">
    <chartFormat chart="2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caption="Count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E0D725-0F1E-4530-9095-D253DB3C46B5}" name="PivotTable7" cacheId="1506" applyNumberFormats="0" applyBorderFormats="0" applyFontFormats="0" applyPatternFormats="0" applyAlignmentFormats="0" applyWidthHeightFormats="1" dataCaption="Values" tag="5169886b-585a-40d4-964b-42f6ac6af189" updatedVersion="8" minRefreshableVersion="3" subtotalHiddenItems="1" itemPrintTitles="1" createdVersion="5" indent="0" outline="1" outlineData="1" multipleFieldFilters="0" chartFormat="22">
  <location ref="A38:C41"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4">
    <format dxfId="269">
      <pivotArea outline="0" collapsedLevelsAreSubtotals="1" fieldPosition="0"/>
    </format>
    <format dxfId="270">
      <pivotArea collapsedLevelsAreSubtotals="1" fieldPosition="0">
        <references count="1">
          <reference field="1" count="0"/>
        </references>
      </pivotArea>
    </format>
    <format dxfId="271">
      <pivotArea grandRow="1" outline="0" collapsedLevelsAreSubtotals="1" fieldPosition="0"/>
    </format>
    <format dxfId="272">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caption="Count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393E98-45D1-476C-B289-A6D78C113EBB}" name="PivotTable6" cacheId="1503" applyNumberFormats="0" applyBorderFormats="0" applyFontFormats="0" applyPatternFormats="0" applyAlignmentFormats="0" applyWidthHeightFormats="1" dataCaption="Values" tag="cf71451d-2ee5-467e-b9bf-87070275edba" updatedVersion="8" minRefreshableVersion="3" subtotalHiddenItems="1" itemPrintTitles="1" createdVersion="5" indent="0" outline="1" outlineData="1" multipleFieldFilters="0" chartFormat="25">
  <location ref="J4:K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274">
      <pivotArea collapsedLevelsAreSubtotals="1" fieldPosition="0">
        <references count="1">
          <reference field="0" count="0"/>
        </references>
      </pivotArea>
    </format>
  </formats>
  <chartFormats count="1">
    <chartFormat chart="24"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3808C3-3214-40DA-976C-FF90185BE8A7}" name="PivotTable5" cacheId="1500" applyNumberFormats="0" applyBorderFormats="0" applyFontFormats="0" applyPatternFormats="0" applyAlignmentFormats="0" applyWidthHeightFormats="1" dataCaption="Values" tag="c7f15457-3ea5-4950-b320-6c77e7f9d9e4" updatedVersion="8" minRefreshableVersion="3" subtotalHiddenItems="1" itemPrintTitles="1" createdVersion="5" indent="0" outline="1" outlineData="1" multipleFieldFilters="0" chartFormat="21">
  <location ref="G4:H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275">
      <pivotArea collapsedLevelsAreSubtotals="1" fieldPosition="0">
        <references count="1">
          <reference field="0" count="0"/>
        </references>
      </pivotArea>
    </format>
  </formats>
  <chartFormats count="1">
    <chartFormat chart="20"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FED840-9D05-43F1-989C-D9640EA26FA0}" name="PivotTable4" cacheId="1488" applyNumberFormats="0" applyBorderFormats="0" applyFontFormats="0" applyPatternFormats="0" applyAlignmentFormats="0" applyWidthHeightFormats="1" dataCaption="Values" tag="fd2db02a-46c6-4fd0-acab-cef4dc7f257d" updatedVersion="8" minRefreshableVersion="3" subtotalHiddenItems="1" itemPrintTitles="1" createdVersion="5" indent="0" outline="1" outlineData="1" multipleFieldFilters="0" chartFormat="17">
  <location ref="D4:E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0"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CE95F6-D24E-46C5-97A2-DCBE43FD4E5F}" name="PivotTable3" cacheId="1497" applyNumberFormats="0" applyBorderFormats="0" applyFontFormats="0" applyPatternFormats="0" applyAlignmentFormats="0" applyWidthHeightFormats="1" dataCaption="Values" tag="d68bed9a-b710-452c-a17b-cd8ae68a54ed" updatedVersion="8" minRefreshableVersion="3"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78">
      <pivotArea outline="0" collapsedLevelsAreSubtotals="1" fieldPosition="0"/>
    </format>
  </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25F9C62-D828-49B6-BD77-EE6644473137}" name="PivotTable2" cacheId="1494" applyNumberFormats="0" applyBorderFormats="0" applyFontFormats="0" applyPatternFormats="0" applyAlignmentFormats="0" applyWidthHeightFormats="1" dataCaption="Values" tag="5e4b2d8b-b798-4cce-a4e7-4c8d2f5a8f94" updatedVersion="8" minRefreshableVersion="3"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79">
      <pivotArea outline="0" collapsedLevelsAreSubtotals="1" fieldPosition="0"/>
    </format>
  </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DABF782-A7BE-406A-893D-4520E1161E28}" name="PivotTable1" cacheId="1491" applyNumberFormats="0" applyBorderFormats="0" applyFontFormats="0" applyPatternFormats="0" applyAlignmentFormats="0" applyWidthHeightFormats="1" dataCaption="Values" tag="c8f15b57-0644-4489-993b-e333d837c309"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F1A5C97-BCCC-4C55-8DF5-4C007D9B542C}"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567464624">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08BBE10-429A-4ADA-98B3-72D6D9C84F97}"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567464624">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D92EDEFF-1D7A-4CE4-AADB-D0A94DCC3B79}" cache="Slicer_Date__Month" caption="Date (Month)" showCaption="0" level="1" style="My style" rowHeight="223200"/>
  <slicer name="Date (Year)" xr10:uid="{D2E07276-676B-4B15-8582-42C8AAD9E31D}" cache="Slicer_Date__Year" caption="Date (Year)" showCaption="0" level="1" style="My style" rowHeight="144000"/>
</slicers>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98035-AA6A-4BBB-B0EC-4B20B779E095}">
  <dimension ref="A3:K88"/>
  <sheetViews>
    <sheetView tabSelected="1" zoomScale="130" zoomScaleNormal="130" workbookViewId="0">
      <selection activeCell="F49" sqref="F49"/>
    </sheetView>
  </sheetViews>
  <sheetFormatPr defaultRowHeight="14.4" x14ac:dyDescent="0.3"/>
  <cols>
    <col min="1" max="1" width="15.6640625" customWidth="1"/>
    <col min="2" max="2" width="28.44140625" bestFit="1" customWidth="1"/>
    <col min="3" max="3" width="7.77734375" customWidth="1"/>
    <col min="4" max="4" width="25.21875" bestFit="1" customWidth="1"/>
    <col min="5" max="5" width="17" bestFit="1" customWidth="1"/>
    <col min="7" max="7" width="15.6640625" bestFit="1" customWidth="1"/>
    <col min="8" max="8" width="25.109375" bestFit="1" customWidth="1"/>
    <col min="10" max="10" width="15.44140625" bestFit="1" customWidth="1"/>
    <col min="11" max="11" width="32.44140625" bestFit="1" customWidth="1"/>
  </cols>
  <sheetData>
    <row r="3" spans="1:11" x14ac:dyDescent="0.3">
      <c r="A3" t="s">
        <v>1</v>
      </c>
      <c r="D3" t="s">
        <v>58</v>
      </c>
      <c r="G3" t="s">
        <v>59</v>
      </c>
      <c r="J3" t="s">
        <v>60</v>
      </c>
    </row>
    <row r="4" spans="1:11" x14ac:dyDescent="0.3">
      <c r="A4" t="s">
        <v>0</v>
      </c>
      <c r="D4" s="2" t="s">
        <v>19</v>
      </c>
      <c r="E4" t="s">
        <v>0</v>
      </c>
      <c r="G4" s="2" t="s">
        <v>19</v>
      </c>
      <c r="H4" t="s">
        <v>17</v>
      </c>
      <c r="J4" s="2" t="s">
        <v>19</v>
      </c>
      <c r="K4" t="s">
        <v>18</v>
      </c>
    </row>
    <row r="5" spans="1:11" x14ac:dyDescent="0.3">
      <c r="A5" s="1">
        <v>513</v>
      </c>
      <c r="D5" s="5" t="s">
        <v>22</v>
      </c>
      <c r="E5" s="1">
        <v>19</v>
      </c>
      <c r="G5" s="5" t="s">
        <v>22</v>
      </c>
      <c r="H5" s="3">
        <v>37.789473684210527</v>
      </c>
      <c r="J5" s="5" t="s">
        <v>22</v>
      </c>
      <c r="K5" s="3">
        <v>6.666666666666667</v>
      </c>
    </row>
    <row r="6" spans="1:11" x14ac:dyDescent="0.3">
      <c r="D6" s="5" t="s">
        <v>23</v>
      </c>
      <c r="E6" s="1">
        <v>14</v>
      </c>
      <c r="G6" s="5" t="s">
        <v>23</v>
      </c>
      <c r="H6" s="3">
        <v>38.214285714285715</v>
      </c>
      <c r="J6" s="5" t="s">
        <v>23</v>
      </c>
      <c r="K6" s="3">
        <v>3.5</v>
      </c>
    </row>
    <row r="7" spans="1:11" x14ac:dyDescent="0.3">
      <c r="A7" t="s">
        <v>17</v>
      </c>
      <c r="D7" s="5" t="s">
        <v>24</v>
      </c>
      <c r="E7" s="1">
        <v>13</v>
      </c>
      <c r="G7" s="5" t="s">
        <v>24</v>
      </c>
      <c r="H7" s="3">
        <v>40.92307692307692</v>
      </c>
      <c r="J7" s="5" t="s">
        <v>24</v>
      </c>
      <c r="K7" s="3">
        <v>4.5</v>
      </c>
    </row>
    <row r="8" spans="1:11" x14ac:dyDescent="0.3">
      <c r="A8" s="3">
        <v>36.323586744639378</v>
      </c>
      <c r="D8" s="5" t="s">
        <v>25</v>
      </c>
      <c r="E8" s="1">
        <v>22</v>
      </c>
      <c r="G8" s="5" t="s">
        <v>25</v>
      </c>
      <c r="H8" s="3">
        <v>34.5</v>
      </c>
      <c r="J8" s="5" t="s">
        <v>25</v>
      </c>
      <c r="K8" s="3">
        <v>4.8</v>
      </c>
    </row>
    <row r="9" spans="1:11" x14ac:dyDescent="0.3">
      <c r="D9" s="5" t="s">
        <v>26</v>
      </c>
      <c r="E9" s="1">
        <v>19</v>
      </c>
      <c r="G9" s="5" t="s">
        <v>26</v>
      </c>
      <c r="H9" s="3">
        <v>30.684210526315791</v>
      </c>
      <c r="J9" s="5" t="s">
        <v>26</v>
      </c>
      <c r="K9" s="3">
        <v>7.75</v>
      </c>
    </row>
    <row r="10" spans="1:11" x14ac:dyDescent="0.3">
      <c r="A10" t="s">
        <v>18</v>
      </c>
      <c r="D10" s="5" t="s">
        <v>27</v>
      </c>
      <c r="E10" s="1">
        <v>15</v>
      </c>
      <c r="G10" s="5" t="s">
        <v>27</v>
      </c>
      <c r="H10" s="3">
        <v>37.666666666666664</v>
      </c>
      <c r="J10" s="5" t="s">
        <v>27</v>
      </c>
      <c r="K10" s="3">
        <v>6.2</v>
      </c>
    </row>
    <row r="11" spans="1:11" x14ac:dyDescent="0.3">
      <c r="A11" s="3">
        <v>4.9591836734693882</v>
      </c>
      <c r="D11" s="5" t="s">
        <v>28</v>
      </c>
      <c r="E11" s="1">
        <v>12</v>
      </c>
      <c r="G11" s="5" t="s">
        <v>28</v>
      </c>
      <c r="H11" s="3">
        <v>36.083333333333336</v>
      </c>
      <c r="J11" s="5" t="s">
        <v>28</v>
      </c>
      <c r="K11" s="3">
        <v>3.75</v>
      </c>
    </row>
    <row r="12" spans="1:11" x14ac:dyDescent="0.3">
      <c r="D12" s="5" t="s">
        <v>29</v>
      </c>
      <c r="E12" s="1">
        <v>21</v>
      </c>
      <c r="G12" s="5" t="s">
        <v>29</v>
      </c>
      <c r="H12" s="3">
        <v>43.523809523809526</v>
      </c>
      <c r="J12" s="5" t="s">
        <v>29</v>
      </c>
      <c r="K12" s="3">
        <v>6.5</v>
      </c>
    </row>
    <row r="13" spans="1:11" x14ac:dyDescent="0.3">
      <c r="D13" s="5" t="s">
        <v>30</v>
      </c>
      <c r="E13" s="1">
        <v>12</v>
      </c>
      <c r="G13" s="5" t="s">
        <v>30</v>
      </c>
      <c r="H13" s="3">
        <v>29.5</v>
      </c>
      <c r="J13" s="5" t="s">
        <v>30</v>
      </c>
      <c r="K13" s="3">
        <v>3</v>
      </c>
    </row>
    <row r="14" spans="1:11" x14ac:dyDescent="0.3">
      <c r="D14" s="5" t="s">
        <v>31</v>
      </c>
      <c r="E14" s="1">
        <v>13</v>
      </c>
      <c r="G14" s="5" t="s">
        <v>31</v>
      </c>
      <c r="H14" s="3">
        <v>38.07692307692308</v>
      </c>
      <c r="J14" s="5" t="s">
        <v>31</v>
      </c>
      <c r="K14" s="3">
        <v>4.5</v>
      </c>
    </row>
    <row r="15" spans="1:11" x14ac:dyDescent="0.3">
      <c r="D15" s="5" t="s">
        <v>32</v>
      </c>
      <c r="E15" s="1">
        <v>13</v>
      </c>
      <c r="G15" s="5" t="s">
        <v>32</v>
      </c>
      <c r="H15" s="3">
        <v>35.846153846153847</v>
      </c>
      <c r="J15" s="5" t="s">
        <v>32</v>
      </c>
      <c r="K15" s="3">
        <v>6</v>
      </c>
    </row>
    <row r="16" spans="1:11" x14ac:dyDescent="0.3">
      <c r="D16" s="5" t="s">
        <v>33</v>
      </c>
      <c r="E16" s="1">
        <v>16</v>
      </c>
      <c r="G16" s="5" t="s">
        <v>33</v>
      </c>
      <c r="H16" s="3">
        <v>32.625</v>
      </c>
      <c r="J16" s="5" t="s">
        <v>33</v>
      </c>
      <c r="K16" s="3">
        <v>5.2</v>
      </c>
    </row>
    <row r="17" spans="4:11" x14ac:dyDescent="0.3">
      <c r="D17" s="5" t="s">
        <v>34</v>
      </c>
      <c r="E17" s="1">
        <v>20</v>
      </c>
      <c r="G17" s="5" t="s">
        <v>34</v>
      </c>
      <c r="H17" s="3">
        <v>39.200000000000003</v>
      </c>
      <c r="J17" s="5" t="s">
        <v>34</v>
      </c>
      <c r="K17" s="3">
        <v>4.4000000000000004</v>
      </c>
    </row>
    <row r="18" spans="4:11" x14ac:dyDescent="0.3">
      <c r="D18" s="5" t="s">
        <v>35</v>
      </c>
      <c r="E18" s="1">
        <v>25</v>
      </c>
      <c r="G18" s="5" t="s">
        <v>35</v>
      </c>
      <c r="H18" s="3">
        <v>35.28</v>
      </c>
      <c r="J18" s="5" t="s">
        <v>35</v>
      </c>
      <c r="K18" s="3">
        <v>3.4545454545454546</v>
      </c>
    </row>
    <row r="19" spans="4:11" x14ac:dyDescent="0.3">
      <c r="D19" s="5" t="s">
        <v>36</v>
      </c>
      <c r="E19" s="1">
        <v>20</v>
      </c>
      <c r="G19" s="5" t="s">
        <v>36</v>
      </c>
      <c r="H19" s="3">
        <v>32.549999999999997</v>
      </c>
      <c r="J19" s="5" t="s">
        <v>36</v>
      </c>
      <c r="K19" s="3">
        <v>4.4000000000000004</v>
      </c>
    </row>
    <row r="20" spans="4:11" x14ac:dyDescent="0.3">
      <c r="D20" s="5" t="s">
        <v>37</v>
      </c>
      <c r="E20" s="1">
        <v>14</v>
      </c>
      <c r="G20" s="5" t="s">
        <v>37</v>
      </c>
      <c r="H20" s="3">
        <v>35.642857142857146</v>
      </c>
      <c r="J20" s="5" t="s">
        <v>37</v>
      </c>
      <c r="K20" s="3">
        <v>5.833333333333333</v>
      </c>
    </row>
    <row r="21" spans="4:11" x14ac:dyDescent="0.3">
      <c r="D21" s="5" t="s">
        <v>38</v>
      </c>
      <c r="E21" s="1">
        <v>17</v>
      </c>
      <c r="G21" s="5" t="s">
        <v>38</v>
      </c>
      <c r="H21" s="3">
        <v>38.764705882352942</v>
      </c>
      <c r="J21" s="5" t="s">
        <v>38</v>
      </c>
      <c r="K21" s="3">
        <v>4.4444444444444446</v>
      </c>
    </row>
    <row r="22" spans="4:11" x14ac:dyDescent="0.3">
      <c r="D22" s="5" t="s">
        <v>39</v>
      </c>
      <c r="E22" s="1">
        <v>20</v>
      </c>
      <c r="G22" s="5" t="s">
        <v>39</v>
      </c>
      <c r="H22" s="3">
        <v>39.9</v>
      </c>
      <c r="J22" s="5" t="s">
        <v>39</v>
      </c>
      <c r="K22" s="3">
        <v>5.333333333333333</v>
      </c>
    </row>
    <row r="23" spans="4:11" x14ac:dyDescent="0.3">
      <c r="D23" s="5" t="s">
        <v>40</v>
      </c>
      <c r="E23" s="1">
        <v>10</v>
      </c>
      <c r="G23" s="5" t="s">
        <v>40</v>
      </c>
      <c r="H23" s="3">
        <v>41.6</v>
      </c>
      <c r="J23" s="5" t="s">
        <v>40</v>
      </c>
      <c r="K23" s="3">
        <v>5.333333333333333</v>
      </c>
    </row>
    <row r="24" spans="4:11" x14ac:dyDescent="0.3">
      <c r="D24" s="5" t="s">
        <v>41</v>
      </c>
      <c r="E24" s="1">
        <v>17</v>
      </c>
      <c r="G24" s="5" t="s">
        <v>41</v>
      </c>
      <c r="H24" s="3">
        <v>39.470588235294116</v>
      </c>
      <c r="J24" s="5" t="s">
        <v>41</v>
      </c>
      <c r="K24" s="3">
        <v>5.5714285714285712</v>
      </c>
    </row>
    <row r="25" spans="4:11" x14ac:dyDescent="0.3">
      <c r="D25" s="5" t="s">
        <v>42</v>
      </c>
      <c r="E25" s="1">
        <v>15</v>
      </c>
      <c r="G25" s="5" t="s">
        <v>42</v>
      </c>
      <c r="H25" s="3">
        <v>27.733333333333334</v>
      </c>
      <c r="J25" s="5" t="s">
        <v>42</v>
      </c>
      <c r="K25" s="3">
        <v>5</v>
      </c>
    </row>
    <row r="26" spans="4:11" x14ac:dyDescent="0.3">
      <c r="D26" s="5" t="s">
        <v>43</v>
      </c>
      <c r="E26" s="1">
        <v>16</v>
      </c>
      <c r="G26" s="5" t="s">
        <v>43</v>
      </c>
      <c r="H26" s="3">
        <v>36.875</v>
      </c>
      <c r="J26" s="5" t="s">
        <v>43</v>
      </c>
      <c r="K26" s="3">
        <v>6.4</v>
      </c>
    </row>
    <row r="27" spans="4:11" x14ac:dyDescent="0.3">
      <c r="D27" s="5" t="s">
        <v>44</v>
      </c>
      <c r="E27" s="1">
        <v>18</v>
      </c>
      <c r="G27" s="5" t="s">
        <v>44</v>
      </c>
      <c r="H27" s="3">
        <v>40.333333333333336</v>
      </c>
      <c r="J27" s="5" t="s">
        <v>44</v>
      </c>
      <c r="K27" s="3">
        <v>5.333333333333333</v>
      </c>
    </row>
    <row r="28" spans="4:11" x14ac:dyDescent="0.3">
      <c r="D28" s="5" t="s">
        <v>45</v>
      </c>
      <c r="E28" s="1">
        <v>16</v>
      </c>
      <c r="G28" s="5" t="s">
        <v>45</v>
      </c>
      <c r="H28" s="3">
        <v>36.5</v>
      </c>
      <c r="J28" s="5" t="s">
        <v>45</v>
      </c>
      <c r="K28" s="3">
        <v>3.75</v>
      </c>
    </row>
    <row r="29" spans="4:11" x14ac:dyDescent="0.3">
      <c r="D29" s="5" t="s">
        <v>46</v>
      </c>
      <c r="E29" s="1">
        <v>15</v>
      </c>
      <c r="G29" s="5" t="s">
        <v>46</v>
      </c>
      <c r="H29" s="3">
        <v>32.866666666666667</v>
      </c>
      <c r="J29" s="5" t="s">
        <v>46</v>
      </c>
      <c r="K29" s="3">
        <v>6.333333333333333</v>
      </c>
    </row>
    <row r="30" spans="4:11" x14ac:dyDescent="0.3">
      <c r="D30" s="5" t="s">
        <v>47</v>
      </c>
      <c r="E30" s="1">
        <v>14</v>
      </c>
      <c r="G30" s="5" t="s">
        <v>47</v>
      </c>
      <c r="H30" s="3">
        <v>36.642857142857146</v>
      </c>
      <c r="J30" s="5" t="s">
        <v>47</v>
      </c>
      <c r="K30" s="3">
        <v>10</v>
      </c>
    </row>
    <row r="31" spans="4:11" x14ac:dyDescent="0.3">
      <c r="D31" s="5" t="s">
        <v>48</v>
      </c>
      <c r="E31" s="1">
        <v>16</v>
      </c>
      <c r="G31" s="5" t="s">
        <v>48</v>
      </c>
      <c r="H31" s="3">
        <v>36.5625</v>
      </c>
      <c r="J31" s="5" t="s">
        <v>48</v>
      </c>
      <c r="K31" s="3">
        <v>5</v>
      </c>
    </row>
    <row r="32" spans="4:11" x14ac:dyDescent="0.3">
      <c r="D32" s="5" t="s">
        <v>49</v>
      </c>
      <c r="E32" s="1">
        <v>20</v>
      </c>
      <c r="G32" s="5" t="s">
        <v>49</v>
      </c>
      <c r="H32" s="3">
        <v>32.15</v>
      </c>
      <c r="J32" s="5" t="s">
        <v>49</v>
      </c>
      <c r="K32" s="3">
        <v>5.333333333333333</v>
      </c>
    </row>
    <row r="33" spans="1:11" x14ac:dyDescent="0.3">
      <c r="D33" s="5" t="s">
        <v>50</v>
      </c>
      <c r="E33" s="1">
        <v>19</v>
      </c>
      <c r="G33" s="5" t="s">
        <v>50</v>
      </c>
      <c r="H33" s="3">
        <v>38.368421052631582</v>
      </c>
      <c r="J33" s="5" t="s">
        <v>50</v>
      </c>
      <c r="K33" s="3">
        <v>4.8</v>
      </c>
    </row>
    <row r="34" spans="1:11" x14ac:dyDescent="0.3">
      <c r="D34" s="5" t="s">
        <v>51</v>
      </c>
      <c r="E34" s="1">
        <v>14</v>
      </c>
      <c r="G34" s="5" t="s">
        <v>51</v>
      </c>
      <c r="H34" s="3">
        <v>33.071428571428569</v>
      </c>
      <c r="J34" s="5" t="s">
        <v>51</v>
      </c>
      <c r="K34" s="3">
        <v>5</v>
      </c>
    </row>
    <row r="35" spans="1:11" x14ac:dyDescent="0.3">
      <c r="D35" s="5" t="s">
        <v>52</v>
      </c>
      <c r="E35" s="1">
        <v>18</v>
      </c>
      <c r="G35" s="5" t="s">
        <v>52</v>
      </c>
      <c r="H35" s="3">
        <v>36.444444444444443</v>
      </c>
      <c r="J35" s="5" t="s">
        <v>52</v>
      </c>
      <c r="K35" s="3">
        <v>1.4</v>
      </c>
    </row>
    <row r="36" spans="1:11" x14ac:dyDescent="0.3">
      <c r="D36" s="5" t="s">
        <v>20</v>
      </c>
      <c r="E36" s="1">
        <v>513</v>
      </c>
      <c r="G36" s="5" t="s">
        <v>20</v>
      </c>
      <c r="H36" s="1">
        <v>36.323586744639378</v>
      </c>
      <c r="J36" s="5" t="s">
        <v>20</v>
      </c>
      <c r="K36" s="1">
        <v>4.9591836734693882</v>
      </c>
    </row>
    <row r="38" spans="1:11" x14ac:dyDescent="0.3">
      <c r="A38" s="2" t="s">
        <v>19</v>
      </c>
      <c r="B38" t="s">
        <v>62</v>
      </c>
      <c r="C38" t="s">
        <v>66</v>
      </c>
    </row>
    <row r="39" spans="1:11" x14ac:dyDescent="0.3">
      <c r="A39" s="5" t="s">
        <v>4</v>
      </c>
      <c r="B39" s="4">
        <v>269</v>
      </c>
      <c r="C39" s="6">
        <v>0.52436647173489281</v>
      </c>
    </row>
    <row r="40" spans="1:11" x14ac:dyDescent="0.3">
      <c r="A40" s="5" t="s">
        <v>16</v>
      </c>
      <c r="B40" s="4">
        <v>244</v>
      </c>
      <c r="C40" s="6">
        <v>0.47563352826510719</v>
      </c>
    </row>
    <row r="41" spans="1:11" x14ac:dyDescent="0.3">
      <c r="A41" s="5" t="s">
        <v>20</v>
      </c>
      <c r="B41" s="4">
        <v>513</v>
      </c>
      <c r="C41" s="6">
        <v>1</v>
      </c>
    </row>
    <row r="45" spans="1:11" x14ac:dyDescent="0.3">
      <c r="A45" s="11" t="s">
        <v>67</v>
      </c>
      <c r="B45" s="11" t="s">
        <v>68</v>
      </c>
      <c r="C45" s="11" t="s">
        <v>69</v>
      </c>
      <c r="D45" s="12"/>
    </row>
    <row r="46" spans="1:11" x14ac:dyDescent="0.3">
      <c r="A46" s="8" t="str">
        <f>A40</f>
        <v>Not Admitted</v>
      </c>
      <c r="B46" s="8">
        <f>B40</f>
        <v>244</v>
      </c>
      <c r="C46" s="9">
        <f>C40</f>
        <v>0.47563352826510719</v>
      </c>
      <c r="D46" s="7"/>
    </row>
    <row r="47" spans="1:11" x14ac:dyDescent="0.3">
      <c r="A47" s="8" t="str">
        <f>A39</f>
        <v>Admitted</v>
      </c>
      <c r="B47" s="10">
        <f>B39</f>
        <v>269</v>
      </c>
      <c r="C47" s="9">
        <f>C39</f>
        <v>0.52436647173489281</v>
      </c>
      <c r="D47" s="7"/>
    </row>
    <row r="49" spans="1:2" x14ac:dyDescent="0.3">
      <c r="A49" t="s">
        <v>71</v>
      </c>
    </row>
    <row r="50" spans="1:2" x14ac:dyDescent="0.3">
      <c r="A50" s="2" t="s">
        <v>19</v>
      </c>
      <c r="B50" t="s">
        <v>70</v>
      </c>
    </row>
    <row r="51" spans="1:2" x14ac:dyDescent="0.3">
      <c r="A51" s="5" t="s">
        <v>13</v>
      </c>
      <c r="B51" s="4">
        <v>76</v>
      </c>
    </row>
    <row r="52" spans="1:2" x14ac:dyDescent="0.3">
      <c r="A52" s="5" t="s">
        <v>8</v>
      </c>
      <c r="B52" s="4">
        <v>69</v>
      </c>
    </row>
    <row r="53" spans="1:2" x14ac:dyDescent="0.3">
      <c r="A53" s="5" t="s">
        <v>12</v>
      </c>
      <c r="B53" s="4">
        <v>64</v>
      </c>
    </row>
    <row r="54" spans="1:2" x14ac:dyDescent="0.3">
      <c r="A54" s="5" t="s">
        <v>14</v>
      </c>
      <c r="B54" s="4">
        <v>59</v>
      </c>
    </row>
    <row r="55" spans="1:2" x14ac:dyDescent="0.3">
      <c r="A55" s="5" t="s">
        <v>10</v>
      </c>
      <c r="B55" s="4">
        <v>58</v>
      </c>
    </row>
    <row r="56" spans="1:2" x14ac:dyDescent="0.3">
      <c r="A56" s="5" t="s">
        <v>11</v>
      </c>
      <c r="B56" s="4">
        <v>66</v>
      </c>
    </row>
    <row r="57" spans="1:2" x14ac:dyDescent="0.3">
      <c r="A57" s="5" t="s">
        <v>5</v>
      </c>
      <c r="B57" s="4">
        <v>67</v>
      </c>
    </row>
    <row r="58" spans="1:2" x14ac:dyDescent="0.3">
      <c r="A58" s="5" t="s">
        <v>7</v>
      </c>
      <c r="B58" s="4">
        <v>54</v>
      </c>
    </row>
    <row r="59" spans="1:2" x14ac:dyDescent="0.3">
      <c r="A59" s="5" t="s">
        <v>20</v>
      </c>
      <c r="B59" s="4">
        <v>513</v>
      </c>
    </row>
    <row r="61" spans="1:2" x14ac:dyDescent="0.3">
      <c r="A61" s="5" t="s">
        <v>72</v>
      </c>
    </row>
    <row r="62" spans="1:2" x14ac:dyDescent="0.3">
      <c r="A62" s="2" t="s">
        <v>19</v>
      </c>
      <c r="B62" t="s">
        <v>61</v>
      </c>
    </row>
    <row r="63" spans="1:2" x14ac:dyDescent="0.3">
      <c r="A63" s="5" t="s">
        <v>6</v>
      </c>
      <c r="B63" s="4">
        <v>316</v>
      </c>
    </row>
    <row r="64" spans="1:2" x14ac:dyDescent="0.3">
      <c r="A64" s="5" t="s">
        <v>9</v>
      </c>
      <c r="B64" s="4">
        <v>197</v>
      </c>
    </row>
    <row r="65" spans="1:2" x14ac:dyDescent="0.3">
      <c r="A65" s="5" t="s">
        <v>20</v>
      </c>
      <c r="B65" s="4">
        <v>513</v>
      </c>
    </row>
    <row r="67" spans="1:2" x14ac:dyDescent="0.3">
      <c r="A67" s="5" t="s">
        <v>74</v>
      </c>
    </row>
    <row r="68" spans="1:2" x14ac:dyDescent="0.3">
      <c r="A68" s="2" t="s">
        <v>19</v>
      </c>
      <c r="B68" t="s">
        <v>73</v>
      </c>
    </row>
    <row r="69" spans="1:2" x14ac:dyDescent="0.3">
      <c r="A69" s="5" t="s">
        <v>15</v>
      </c>
      <c r="B69" s="4">
        <v>241</v>
      </c>
    </row>
    <row r="70" spans="1:2" x14ac:dyDescent="0.3">
      <c r="A70" s="5" t="s">
        <v>2</v>
      </c>
      <c r="B70" s="4">
        <v>272</v>
      </c>
    </row>
    <row r="71" spans="1:2" x14ac:dyDescent="0.3">
      <c r="A71" s="5" t="s">
        <v>20</v>
      </c>
      <c r="B71" s="4">
        <v>513</v>
      </c>
    </row>
    <row r="74" spans="1:2" x14ac:dyDescent="0.3">
      <c r="A74" s="2" t="s">
        <v>19</v>
      </c>
      <c r="B74" t="s">
        <v>75</v>
      </c>
    </row>
    <row r="75" spans="1:2" x14ac:dyDescent="0.3">
      <c r="A75" s="5" t="s">
        <v>64</v>
      </c>
      <c r="B75" s="4">
        <v>4</v>
      </c>
    </row>
    <row r="76" spans="1:2" x14ac:dyDescent="0.3">
      <c r="A76" s="5" t="s">
        <v>65</v>
      </c>
      <c r="B76" s="4">
        <v>5</v>
      </c>
    </row>
    <row r="77" spans="1:2" x14ac:dyDescent="0.3">
      <c r="A77" s="5" t="s">
        <v>57</v>
      </c>
      <c r="B77" s="4">
        <v>9</v>
      </c>
    </row>
    <row r="78" spans="1:2" x14ac:dyDescent="0.3">
      <c r="A78" s="5" t="s">
        <v>56</v>
      </c>
      <c r="B78" s="4">
        <v>14</v>
      </c>
    </row>
    <row r="79" spans="1:2" x14ac:dyDescent="0.3">
      <c r="A79" s="5" t="s">
        <v>63</v>
      </c>
      <c r="B79" s="4">
        <v>14</v>
      </c>
    </row>
    <row r="80" spans="1:2" x14ac:dyDescent="0.3">
      <c r="A80" s="5" t="s">
        <v>55</v>
      </c>
      <c r="B80" s="4">
        <v>65</v>
      </c>
    </row>
    <row r="81" spans="1:2" x14ac:dyDescent="0.3">
      <c r="A81" s="5" t="s">
        <v>54</v>
      </c>
      <c r="B81" s="4">
        <v>103</v>
      </c>
    </row>
    <row r="82" spans="1:2" x14ac:dyDescent="0.3">
      <c r="A82" s="5" t="s">
        <v>3</v>
      </c>
      <c r="B82" s="4">
        <v>299</v>
      </c>
    </row>
    <row r="83" spans="1:2" x14ac:dyDescent="0.3">
      <c r="A83" s="5" t="s">
        <v>20</v>
      </c>
      <c r="B83" s="4">
        <v>513</v>
      </c>
    </row>
    <row r="86" spans="1:2" x14ac:dyDescent="0.3">
      <c r="A86" s="2" t="s">
        <v>19</v>
      </c>
    </row>
    <row r="87" spans="1:2" x14ac:dyDescent="0.3">
      <c r="A87" s="5" t="s">
        <v>21</v>
      </c>
    </row>
    <row r="88" spans="1:2" x14ac:dyDescent="0.3">
      <c r="A88" s="5" t="s">
        <v>20</v>
      </c>
    </row>
  </sheetData>
  <customSheetViews>
    <customSheetView guid="{D137B2B0-D4F2-44AB-BF1C-FE68FE4326B1}" scale="130" topLeftCell="A45">
      <selection activeCell="A45" sqref="A45:D47"/>
      <pageMargins left="0.7" right="0.7" top="0.75" bottom="0.75" header="0.3" footer="0.3"/>
    </customSheetView>
  </customSheetViews>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B1931-3BC3-4EF9-A139-6D282B58C0B5}">
  <dimension ref="O6"/>
  <sheetViews>
    <sheetView showGridLines="0" zoomScale="165" zoomScaleNormal="145" workbookViewId="0">
      <selection activeCell="O5" sqref="O5"/>
    </sheetView>
  </sheetViews>
  <sheetFormatPr defaultRowHeight="14.4" x14ac:dyDescent="0.3"/>
  <cols>
    <col min="1" max="4" width="8.88671875" style="13"/>
    <col min="5" max="5" width="8.88671875" style="13" customWidth="1"/>
    <col min="6" max="6" width="8.88671875" style="13"/>
    <col min="7" max="7" width="8.88671875" style="13" customWidth="1"/>
    <col min="8" max="16384" width="8.88671875" style="13"/>
  </cols>
  <sheetData>
    <row r="6" spans="15:15" x14ac:dyDescent="0.3">
      <c r="O6" s="13" t="s">
        <v>53</v>
      </c>
    </row>
  </sheetData>
  <customSheetViews>
    <customSheetView guid="{D137B2B0-D4F2-44AB-BF1C-FE68FE4326B1}" scale="140">
      <selection activeCell="O8" sqref="O8"/>
      <pageMargins left="0.7" right="0.7" top="0.75" bottom="0.75" header="0.3" footer="0.3"/>
    </customSheetView>
  </customSheetView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23A5DF74-5889-4096-BC7F-A96DC45FA9F3}">
  <ds:schemaRefs/>
</ds:datastoreItem>
</file>

<file path=customXml/itemProps2.xml><?xml version="1.0" encoding="utf-8"?>
<ds:datastoreItem xmlns:ds="http://schemas.openxmlformats.org/officeDocument/2006/customXml" ds:itemID="{AEAB330D-CEBF-4EC1-B8C8-301DD10D08D9}">
  <ds:schemaRefs/>
</ds:datastoreItem>
</file>

<file path=customXml/itemProps3.xml><?xml version="1.0" encoding="utf-8"?>
<ds:datastoreItem xmlns:ds="http://schemas.openxmlformats.org/officeDocument/2006/customXml" ds:itemID="{2B16EEEA-04F1-49FC-BD9B-58CE139E640D}">
  <ds:schemaRefs/>
</ds:datastoreItem>
</file>

<file path=customXml/itemProps4.xml><?xml version="1.0" encoding="utf-8"?>
<ds:datastoreItem xmlns:ds="http://schemas.openxmlformats.org/officeDocument/2006/customXml" ds:itemID="{E7B0A9F7-5CDE-48CC-9BDD-BE4C79F118A3}">
  <ds:schemaRefs/>
</ds:datastoreItem>
</file>

<file path=customXml/itemProps5.xml><?xml version="1.0" encoding="utf-8"?>
<ds:datastoreItem xmlns:ds="http://schemas.openxmlformats.org/officeDocument/2006/customXml" ds:itemID="{C777A05B-B299-4803-9A74-10F1BE8ABC47}">
  <ds:schemaRefs/>
</ds:datastoreItem>
</file>

<file path=customXml/itemProps6.xml><?xml version="1.0" encoding="utf-8"?>
<ds:datastoreItem xmlns:ds="http://schemas.openxmlformats.org/officeDocument/2006/customXml" ds:itemID="{BA45FE3B-613C-45C9-B381-209A1F6CAB1C}">
  <ds:schemaRefs/>
</ds:datastoreItem>
</file>

<file path=customXml/itemProps7.xml><?xml version="1.0" encoding="utf-8"?>
<ds:datastoreItem xmlns:ds="http://schemas.openxmlformats.org/officeDocument/2006/customXml" ds:itemID="{381B72F8-86AB-4CA7-994C-EC1D23F853E3}">
  <ds:schemaRefs/>
</ds:datastoreItem>
</file>

<file path=customXml/itemProps8.xml><?xml version="1.0" encoding="utf-8"?>
<ds:datastoreItem xmlns:ds="http://schemas.openxmlformats.org/officeDocument/2006/customXml" ds:itemID="{819094A1-453A-46E4-BAD3-F8BA343E41EE}">
  <ds:schemaRefs/>
</ds:datastoreItem>
</file>

<file path=customXml/itemProps9.xml><?xml version="1.0" encoding="utf-8"?>
<ds:datastoreItem xmlns:ds="http://schemas.openxmlformats.org/officeDocument/2006/customXml" ds:itemID="{3EB7DC15-E4AB-4EC7-95F0-F45140BEDC72}">
  <ds:schemaRefs/>
</ds:datastoreItem>
</file>

<file path=customXml/itemProps10.xml><?xml version="1.0" encoding="utf-8"?>
<ds:datastoreItem xmlns:ds="http://schemas.openxmlformats.org/officeDocument/2006/customXml" ds:itemID="{AF44D945-C3D0-4221-BA6D-BCA271CC3898}">
  <ds:schemaRefs/>
</ds:datastoreItem>
</file>

<file path=customXml/itemProps11.xml><?xml version="1.0" encoding="utf-8"?>
<ds:datastoreItem xmlns:ds="http://schemas.openxmlformats.org/officeDocument/2006/customXml" ds:itemID="{50A0D6FD-74A3-4CD5-9443-8C09F99987C2}">
  <ds:schemaRefs/>
</ds:datastoreItem>
</file>

<file path=customXml/itemProps12.xml><?xml version="1.0" encoding="utf-8"?>
<ds:datastoreItem xmlns:ds="http://schemas.openxmlformats.org/officeDocument/2006/customXml" ds:itemID="{696EDF83-8296-42B9-9F58-F8AD9B3115B5}">
  <ds:schemaRefs>
    <ds:schemaRef ds:uri="http://schemas.microsoft.com/DataMashup"/>
  </ds:schemaRefs>
</ds:datastoreItem>
</file>

<file path=customXml/itemProps13.xml><?xml version="1.0" encoding="utf-8"?>
<ds:datastoreItem xmlns:ds="http://schemas.openxmlformats.org/officeDocument/2006/customXml" ds:itemID="{4D23F8B8-B0C9-447F-976C-95C9FDDC6C24}">
  <ds:schemaRefs/>
</ds:datastoreItem>
</file>

<file path=customXml/itemProps14.xml><?xml version="1.0" encoding="utf-8"?>
<ds:datastoreItem xmlns:ds="http://schemas.openxmlformats.org/officeDocument/2006/customXml" ds:itemID="{F45C62A8-C4AD-42F4-B535-7AF4D973121F}">
  <ds:schemaRefs/>
</ds:datastoreItem>
</file>

<file path=customXml/itemProps15.xml><?xml version="1.0" encoding="utf-8"?>
<ds:datastoreItem xmlns:ds="http://schemas.openxmlformats.org/officeDocument/2006/customXml" ds:itemID="{0372B266-D299-4434-B7A8-76265F32B515}">
  <ds:schemaRefs/>
</ds:datastoreItem>
</file>

<file path=customXml/itemProps16.xml><?xml version="1.0" encoding="utf-8"?>
<ds:datastoreItem xmlns:ds="http://schemas.openxmlformats.org/officeDocument/2006/customXml" ds:itemID="{C699D536-4491-4F49-952C-06F053A264D3}">
  <ds:schemaRefs/>
</ds:datastoreItem>
</file>

<file path=customXml/itemProps17.xml><?xml version="1.0" encoding="utf-8"?>
<ds:datastoreItem xmlns:ds="http://schemas.openxmlformats.org/officeDocument/2006/customXml" ds:itemID="{A0FF0651-F652-431A-B052-AE9080FE5E0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bhaskar n</dc:creator>
  <cp:lastModifiedBy>bhaskar n</cp:lastModifiedBy>
  <dcterms:created xsi:type="dcterms:W3CDTF">2026-09-02T16:55:36Z</dcterms:created>
  <dcterms:modified xsi:type="dcterms:W3CDTF">2026-09-03T11:05:07Z</dcterms:modified>
</cp:coreProperties>
</file>